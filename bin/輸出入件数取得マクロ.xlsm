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ON\Desktop\Excel\vba_git\bin\"/>
    </mc:Choice>
  </mc:AlternateContent>
  <bookViews>
    <workbookView xWindow="0" yWindow="0" windowWidth="20490" windowHeight="7500"/>
  </bookViews>
  <sheets>
    <sheet name="輸出入件数取得シート" sheetId="1" r:id="rId1"/>
    <sheet name="Sheet1" sheetId="8" r:id="rId2"/>
    <sheet name="担当者名簿" sheetId="7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C2" i="7"/>
  <c r="B3" i="7"/>
  <c r="C3" i="7"/>
  <c r="B4" i="7"/>
  <c r="C4" i="7"/>
  <c r="B5" i="7"/>
  <c r="C5" i="7"/>
  <c r="B6" i="7"/>
  <c r="C6" i="7"/>
  <c r="B7" i="7"/>
  <c r="C7" i="7"/>
  <c r="B8" i="7"/>
  <c r="C8" i="7"/>
  <c r="B9" i="7"/>
  <c r="C9" i="7"/>
  <c r="B10" i="7"/>
  <c r="C10" i="7"/>
  <c r="B11" i="7"/>
  <c r="C11" i="7"/>
  <c r="B12" i="7"/>
  <c r="C12" i="7"/>
  <c r="B13" i="7"/>
  <c r="C13" i="7"/>
  <c r="F3" i="1" l="1"/>
  <c r="F2" i="1"/>
</calcChain>
</file>

<file path=xl/sharedStrings.xml><?xml version="1.0" encoding="utf-8"?>
<sst xmlns="http://schemas.openxmlformats.org/spreadsheetml/2006/main" count="247" uniqueCount="100">
  <si>
    <t>データ抽出シート名</t>
    <rPh sb="3" eb="5">
      <t>チュウシュツ</t>
    </rPh>
    <rPh sb="8" eb="9">
      <t>メイ</t>
    </rPh>
    <phoneticPr fontId="1"/>
  </si>
  <si>
    <t>データ取得</t>
    <rPh sb="3" eb="5">
      <t>シュトク</t>
    </rPh>
    <phoneticPr fontId="1"/>
  </si>
  <si>
    <t>期間</t>
    <rPh sb="0" eb="2">
      <t>キカン</t>
    </rPh>
    <phoneticPr fontId="1"/>
  </si>
  <si>
    <t>海貨1課</t>
    <phoneticPr fontId="1"/>
  </si>
  <si>
    <t>○</t>
    <phoneticPr fontId="1"/>
  </si>
  <si>
    <t>輸入1/輸入2階</t>
    <rPh sb="0" eb="2">
      <t>ユニュウ</t>
    </rPh>
    <rPh sb="4" eb="6">
      <t>ユニュウ</t>
    </rPh>
    <rPh sb="7" eb="8">
      <t>カイ</t>
    </rPh>
    <phoneticPr fontId="1"/>
  </si>
  <si>
    <t>業務大黒</t>
    <phoneticPr fontId="1"/>
  </si>
  <si>
    <t>○</t>
  </si>
  <si>
    <t>海貨2課</t>
    <phoneticPr fontId="1"/>
  </si>
  <si>
    <t>合計</t>
    <rPh sb="0" eb="2">
      <t>ゴウケイ</t>
    </rPh>
    <phoneticPr fontId="1"/>
  </si>
  <si>
    <t>港運1課</t>
    <phoneticPr fontId="1"/>
  </si>
  <si>
    <t>抽出対象ブック</t>
    <rPh sb="0" eb="2">
      <t>チュウシュツ</t>
    </rPh>
    <rPh sb="2" eb="4">
      <t>タイショウ</t>
    </rPh>
    <phoneticPr fontId="1"/>
  </si>
  <si>
    <t>港運2課</t>
    <phoneticPr fontId="1"/>
  </si>
  <si>
    <t>輸入1</t>
    <rPh sb="0" eb="2">
      <t>ユニュウ</t>
    </rPh>
    <phoneticPr fontId="1"/>
  </si>
  <si>
    <t>海貨3課（旧港運2課）</t>
    <phoneticPr fontId="1"/>
  </si>
  <si>
    <t>輸入2階</t>
    <rPh sb="0" eb="2">
      <t>ユニュウ</t>
    </rPh>
    <rPh sb="3" eb="4">
      <t>カイ</t>
    </rPh>
    <phoneticPr fontId="1"/>
  </si>
  <si>
    <t>輸出1</t>
    <rPh sb="0" eb="2">
      <t>ユシュツ</t>
    </rPh>
    <phoneticPr fontId="1"/>
  </si>
  <si>
    <t>倉庫1課</t>
    <phoneticPr fontId="1"/>
  </si>
  <si>
    <t>倉庫2課</t>
    <phoneticPr fontId="1"/>
  </si>
  <si>
    <t>倉庫3課</t>
    <phoneticPr fontId="1"/>
  </si>
  <si>
    <t>コーナン</t>
    <phoneticPr fontId="1"/>
  </si>
  <si>
    <t>本牧物流</t>
    <phoneticPr fontId="1"/>
  </si>
  <si>
    <t>海上部</t>
    <phoneticPr fontId="1"/>
  </si>
  <si>
    <t>大黒L8</t>
    <phoneticPr fontId="1"/>
  </si>
  <si>
    <t>代理店課</t>
    <phoneticPr fontId="1"/>
  </si>
  <si>
    <t>国際輸送</t>
    <phoneticPr fontId="1"/>
  </si>
  <si>
    <t>引越部</t>
    <phoneticPr fontId="1"/>
  </si>
  <si>
    <t>OLT</t>
    <phoneticPr fontId="1"/>
  </si>
  <si>
    <t>×</t>
  </si>
  <si>
    <t>修正・評価・更生</t>
    <phoneticPr fontId="1"/>
  </si>
  <si>
    <t>その他の申請</t>
    <phoneticPr fontId="1"/>
  </si>
  <si>
    <t>荷主別</t>
    <phoneticPr fontId="1"/>
  </si>
  <si>
    <t>店内</t>
    <phoneticPr fontId="1"/>
  </si>
  <si>
    <t>○</t>
    <phoneticPr fontId="1"/>
  </si>
  <si>
    <t>フォンテラ</t>
  </si>
  <si>
    <t>日本システム課</t>
  </si>
  <si>
    <t>輸出</t>
  </si>
  <si>
    <t>食品届</t>
  </si>
  <si>
    <t>動検申請</t>
  </si>
  <si>
    <t>OLT</t>
  </si>
  <si>
    <t>申請書等</t>
  </si>
  <si>
    <t>輸入台帳</t>
  </si>
  <si>
    <t>荷主別</t>
  </si>
  <si>
    <t>海貨1課</t>
  </si>
  <si>
    <t>海貨2課</t>
  </si>
  <si>
    <t>港運2課</t>
  </si>
  <si>
    <t>港運2</t>
  </si>
  <si>
    <t>埠頭営業課</t>
  </si>
  <si>
    <t>倉庫営業1課</t>
  </si>
  <si>
    <t>倉庫営業2課</t>
  </si>
  <si>
    <t>倉庫営業3課</t>
  </si>
  <si>
    <t>L8</t>
  </si>
  <si>
    <t>国際輸送部</t>
  </si>
  <si>
    <t>引越部</t>
  </si>
  <si>
    <t>その他の申請</t>
  </si>
  <si>
    <t>店内</t>
  </si>
  <si>
    <t>転記ブック</t>
    <rPh sb="0" eb="2">
      <t>テンキ</t>
    </rPh>
    <phoneticPr fontId="1"/>
  </si>
  <si>
    <t>輸出1/輸出2階</t>
    <rPh sb="0" eb="2">
      <t>ユシュツ</t>
    </rPh>
    <rPh sb="4" eb="6">
      <t>ユシュツ</t>
    </rPh>
    <rPh sb="7" eb="8">
      <t>カイ</t>
    </rPh>
    <phoneticPr fontId="1"/>
  </si>
  <si>
    <t>輸入台帳2階ブック</t>
    <rPh sb="5" eb="6">
      <t>カイ</t>
    </rPh>
    <phoneticPr fontId="1"/>
  </si>
  <si>
    <t>輸入台帳ブック</t>
    <phoneticPr fontId="1"/>
  </si>
  <si>
    <t>輸出台帳ブック</t>
    <rPh sb="2" eb="4">
      <t>ダイチョウ</t>
    </rPh>
    <phoneticPr fontId="1"/>
  </si>
  <si>
    <t>担当者名</t>
    <rPh sb="0" eb="3">
      <t>タントウシャ</t>
    </rPh>
    <rPh sb="3" eb="4">
      <t>メイ</t>
    </rPh>
    <phoneticPr fontId="1"/>
  </si>
  <si>
    <t>件数個別取得</t>
    <rPh sb="0" eb="2">
      <t>ケンスウ</t>
    </rPh>
    <rPh sb="2" eb="4">
      <t>コベツ</t>
    </rPh>
    <rPh sb="4" eb="6">
      <t>シュトク</t>
    </rPh>
    <phoneticPr fontId="1"/>
  </si>
  <si>
    <t>苗字</t>
    <rPh sb="0" eb="2">
      <t>ミョウジ</t>
    </rPh>
    <phoneticPr fontId="1"/>
  </si>
  <si>
    <t>名前</t>
    <rPh sb="0" eb="2">
      <t>ナマエ</t>
    </rPh>
    <phoneticPr fontId="1"/>
  </si>
  <si>
    <t>○</t>
    <phoneticPr fontId="1"/>
  </si>
  <si>
    <t>前回抽出対象</t>
    <rPh sb="0" eb="2">
      <t>ゼンカイ</t>
    </rPh>
    <rPh sb="2" eb="4">
      <t>チュウシュツ</t>
    </rPh>
    <rPh sb="4" eb="6">
      <t>タイショウ</t>
    </rPh>
    <phoneticPr fontId="1"/>
  </si>
  <si>
    <t>設定</t>
    <rPh sb="0" eb="2">
      <t>セッテイ</t>
    </rPh>
    <phoneticPr fontId="1"/>
  </si>
  <si>
    <t>埠頭1課</t>
    <rPh sb="3" eb="4">
      <t>カ</t>
    </rPh>
    <phoneticPr fontId="1"/>
  </si>
  <si>
    <t>埠頭2課</t>
    <rPh sb="3" eb="4">
      <t>カ</t>
    </rPh>
    <phoneticPr fontId="1"/>
  </si>
  <si>
    <t>N:\社内整理番号表\30年度輸出\許可入力　輸出　2018年　4月.xlsx</t>
    <phoneticPr fontId="1"/>
  </si>
  <si>
    <t>\\Filesv\海ブロック共用\営業情報関連\平成27年度 情報・実績・報告書\営業日報\通関部\横浜通関課\横浜通関課　申告件数表.xlsx</t>
    <phoneticPr fontId="1"/>
  </si>
  <si>
    <t>港運1課</t>
    <rPh sb="3" eb="4">
      <t>カ</t>
    </rPh>
    <phoneticPr fontId="1"/>
  </si>
  <si>
    <t>輸入台帳ブック</t>
  </si>
  <si>
    <t>業務大黒</t>
  </si>
  <si>
    <t>港運1課</t>
  </si>
  <si>
    <t>海貨3課（旧港運2課）</t>
  </si>
  <si>
    <t>倉庫1課</t>
  </si>
  <si>
    <t>倉庫2課</t>
  </si>
  <si>
    <t>倉庫3課</t>
  </si>
  <si>
    <t>コーナン</t>
  </si>
  <si>
    <t>本牧物流</t>
  </si>
  <si>
    <t>海上部</t>
  </si>
  <si>
    <t>大黒L8</t>
  </si>
  <si>
    <t>代理店課</t>
  </si>
  <si>
    <t>国際輸送</t>
  </si>
  <si>
    <t>修正・評価・更生</t>
  </si>
  <si>
    <t>取得要否1</t>
    <rPh sb="0" eb="2">
      <t>シュトク</t>
    </rPh>
    <rPh sb="2" eb="4">
      <t>ヨウヒ</t>
    </rPh>
    <phoneticPr fontId="1"/>
  </si>
  <si>
    <t>最終ログイン</t>
    <rPh sb="0" eb="2">
      <t>サイシュウ</t>
    </rPh>
    <phoneticPr fontId="1"/>
  </si>
  <si>
    <t>最終ログインユーザー名</t>
    <rPh sb="0" eb="2">
      <t>サイシュウ</t>
    </rPh>
    <rPh sb="10" eb="11">
      <t>メイ</t>
    </rPh>
    <phoneticPr fontId="1"/>
  </si>
  <si>
    <t>○</t>
    <phoneticPr fontId="1"/>
  </si>
  <si>
    <t>×</t>
    <phoneticPr fontId="1"/>
  </si>
  <si>
    <t>埠頭営業</t>
  </si>
  <si>
    <t>N:\社内整理番号表\30年度輸入\許可入力　輸入　2018年　4月.xlsx</t>
    <phoneticPr fontId="1"/>
  </si>
  <si>
    <t>N:\２階関係\台帳\平成３０年度台帳\４月.xls</t>
    <phoneticPr fontId="1"/>
  </si>
  <si>
    <t>N:\社内整理番号表\30年度輸入\許可入力　輸入　2018年　5月.xlsx</t>
    <phoneticPr fontId="1"/>
  </si>
  <si>
    <t>N:\２階関係\台帳\平成３０年度台帳\５月.xls</t>
    <phoneticPr fontId="1"/>
  </si>
  <si>
    <t>N:\社内整理番号表\30年度輸出\許可入力　輸出　2018年　5月.xlsx</t>
    <phoneticPr fontId="1"/>
  </si>
  <si>
    <t>NEON</t>
    <phoneticPr fontId="1"/>
  </si>
  <si>
    <t>*****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</si>
</sst>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ggge&quot;年度&quot;"/>
    <numFmt numFmtId="177" formatCode="yyyy/m/d\ h:mm;@"/>
  </numFmts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176" fontId="0" fillId="0" borderId="0" xfId="0" applyNumberFormat="1">
      <alignment vertical="center"/>
    </xf>
    <xf numFmtId="177" fontId="5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ブックの設定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D13" totalsRowShown="0">
  <autoFilter ref="A1:D13"/>
  <tableColumns count="4">
    <tableColumn id="1" name="担当者名"/>
    <tableColumn id="2" name="苗字">
      <calculatedColumnFormula>LEFT(A2,FIND("　",A2)-1)</calculatedColumnFormula>
    </tableColumn>
    <tableColumn id="3" name="名前">
      <calculatedColumnFormula>RIGHT(A2,LEN(A2)-FIND("　",A2))</calculatedColumnFormula>
    </tableColumn>
    <tableColumn id="4" name="件数個別取得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52"/>
  <sheetViews>
    <sheetView tabSelected="1" workbookViewId="0">
      <selection activeCell="C14" sqref="C14"/>
    </sheetView>
  </sheetViews>
  <sheetFormatPr defaultRowHeight="13.5"/>
  <cols>
    <col min="1" max="1" width="17.375" bestFit="1" customWidth="1"/>
    <col min="2" max="2" width="10.5" bestFit="1" customWidth="1"/>
    <col min="3" max="3" width="13.75" bestFit="1" customWidth="1"/>
    <col min="4" max="4" width="11.125" bestFit="1" customWidth="1"/>
    <col min="5" max="5" width="10.5" bestFit="1" customWidth="1"/>
    <col min="7" max="7" width="11.875" bestFit="1" customWidth="1"/>
    <col min="8" max="8" width="23.875" customWidth="1"/>
    <col min="9" max="9" width="21.875" bestFit="1" customWidth="1"/>
  </cols>
  <sheetData>
    <row r="1" spans="1:10">
      <c r="A1" t="s">
        <v>0</v>
      </c>
      <c r="B1" t="s">
        <v>1</v>
      </c>
      <c r="C1" t="s">
        <v>2</v>
      </c>
      <c r="D1" s="1">
        <v>43216</v>
      </c>
      <c r="E1" s="1">
        <v>43222</v>
      </c>
      <c r="F1" t="s">
        <v>9</v>
      </c>
      <c r="G1" t="s">
        <v>88</v>
      </c>
      <c r="H1" s="11">
        <v>43642.873518518521</v>
      </c>
      <c r="I1" t="s">
        <v>89</v>
      </c>
      <c r="J1" t="s">
        <v>98</v>
      </c>
    </row>
    <row r="2" spans="1:10">
      <c r="A2" s="3" t="s">
        <v>59</v>
      </c>
      <c r="C2" t="s">
        <v>5</v>
      </c>
      <c r="D2">
        <v>45</v>
      </c>
      <c r="E2">
        <v>20</v>
      </c>
      <c r="F2">
        <f>D2+E2</f>
        <v>65</v>
      </c>
    </row>
    <row r="3" spans="1:10">
      <c r="A3" s="3" t="s">
        <v>3</v>
      </c>
      <c r="B3" t="s">
        <v>4</v>
      </c>
      <c r="C3" t="s">
        <v>57</v>
      </c>
      <c r="D3">
        <v>15</v>
      </c>
      <c r="E3">
        <v>0</v>
      </c>
      <c r="F3">
        <f>D3+E3</f>
        <v>15</v>
      </c>
    </row>
    <row r="4" spans="1:10">
      <c r="A4" s="3" t="s">
        <v>6</v>
      </c>
      <c r="B4" t="s">
        <v>7</v>
      </c>
      <c r="D4" s="2"/>
      <c r="E4" s="2"/>
    </row>
    <row r="5" spans="1:10">
      <c r="A5" s="3" t="s">
        <v>8</v>
      </c>
      <c r="B5" t="s">
        <v>7</v>
      </c>
      <c r="C5" t="s">
        <v>11</v>
      </c>
    </row>
    <row r="6" spans="1:10">
      <c r="A6" s="3" t="s">
        <v>10</v>
      </c>
      <c r="B6" t="s">
        <v>7</v>
      </c>
      <c r="C6" t="s">
        <v>13</v>
      </c>
      <c r="D6" t="s">
        <v>95</v>
      </c>
    </row>
    <row r="7" spans="1:10">
      <c r="A7" s="3" t="s">
        <v>12</v>
      </c>
      <c r="B7" t="s">
        <v>7</v>
      </c>
      <c r="C7" t="s">
        <v>15</v>
      </c>
      <c r="D7" t="s">
        <v>96</v>
      </c>
    </row>
    <row r="8" spans="1:10">
      <c r="A8" s="3" t="s">
        <v>14</v>
      </c>
      <c r="B8" t="s">
        <v>28</v>
      </c>
      <c r="C8" t="s">
        <v>16</v>
      </c>
      <c r="D8" t="s">
        <v>97</v>
      </c>
    </row>
    <row r="9" spans="1:10">
      <c r="A9" s="3" t="s">
        <v>68</v>
      </c>
      <c r="B9" t="s">
        <v>7</v>
      </c>
      <c r="C9" t="s">
        <v>56</v>
      </c>
      <c r="D9" t="s">
        <v>71</v>
      </c>
    </row>
    <row r="10" spans="1:10">
      <c r="A10" s="3" t="s">
        <v>69</v>
      </c>
      <c r="B10" t="s">
        <v>7</v>
      </c>
      <c r="C10" t="s">
        <v>66</v>
      </c>
    </row>
    <row r="11" spans="1:10">
      <c r="A11" s="3" t="s">
        <v>17</v>
      </c>
      <c r="B11" t="s">
        <v>7</v>
      </c>
      <c r="C11" s="7" t="s">
        <v>13</v>
      </c>
      <c r="D11" s="7" t="s">
        <v>93</v>
      </c>
      <c r="E11" s="7"/>
    </row>
    <row r="12" spans="1:10">
      <c r="A12" s="3" t="s">
        <v>18</v>
      </c>
      <c r="B12" t="s">
        <v>7</v>
      </c>
      <c r="C12" s="7" t="s">
        <v>15</v>
      </c>
      <c r="D12" s="7" t="s">
        <v>94</v>
      </c>
      <c r="E12" s="7"/>
    </row>
    <row r="13" spans="1:10">
      <c r="A13" s="3" t="s">
        <v>19</v>
      </c>
      <c r="B13" t="s">
        <v>7</v>
      </c>
      <c r="C13" s="7" t="s">
        <v>16</v>
      </c>
      <c r="D13" s="7" t="s">
        <v>70</v>
      </c>
      <c r="E13" s="7"/>
    </row>
    <row r="14" spans="1:10">
      <c r="A14" s="3" t="s">
        <v>20</v>
      </c>
      <c r="B14" t="s">
        <v>7</v>
      </c>
      <c r="C14" s="9"/>
      <c r="D14" s="10"/>
    </row>
    <row r="15" spans="1:10">
      <c r="A15" s="3" t="s">
        <v>21</v>
      </c>
      <c r="B15" t="s">
        <v>7</v>
      </c>
    </row>
    <row r="16" spans="1:10">
      <c r="A16" s="3" t="s">
        <v>22</v>
      </c>
      <c r="B16" t="s">
        <v>33</v>
      </c>
    </row>
    <row r="17" spans="1:2">
      <c r="A17" s="3" t="s">
        <v>23</v>
      </c>
      <c r="B17" t="s">
        <v>7</v>
      </c>
    </row>
    <row r="18" spans="1:2">
      <c r="A18" s="3" t="s">
        <v>24</v>
      </c>
      <c r="B18" t="s">
        <v>7</v>
      </c>
    </row>
    <row r="19" spans="1:2">
      <c r="A19" s="3" t="s">
        <v>25</v>
      </c>
      <c r="B19" t="s">
        <v>7</v>
      </c>
    </row>
    <row r="20" spans="1:2">
      <c r="A20" s="3" t="s">
        <v>26</v>
      </c>
      <c r="B20" t="s">
        <v>7</v>
      </c>
    </row>
    <row r="21" spans="1:2">
      <c r="A21" s="3" t="s">
        <v>27</v>
      </c>
      <c r="B21" t="s">
        <v>91</v>
      </c>
    </row>
    <row r="22" spans="1:2">
      <c r="A22" s="3" t="s">
        <v>29</v>
      </c>
      <c r="B22" t="s">
        <v>28</v>
      </c>
    </row>
    <row r="23" spans="1:2">
      <c r="A23" s="3" t="s">
        <v>30</v>
      </c>
      <c r="B23" t="s">
        <v>28</v>
      </c>
    </row>
    <row r="24" spans="1:2">
      <c r="A24" s="3" t="s">
        <v>31</v>
      </c>
      <c r="B24" t="s">
        <v>28</v>
      </c>
    </row>
    <row r="25" spans="1:2">
      <c r="A25" s="3" t="s">
        <v>32</v>
      </c>
      <c r="B25" t="s">
        <v>28</v>
      </c>
    </row>
    <row r="26" spans="1:2">
      <c r="A26" s="4" t="s">
        <v>58</v>
      </c>
    </row>
    <row r="27" spans="1:2">
      <c r="A27" s="4" t="s">
        <v>34</v>
      </c>
      <c r="B27" t="s">
        <v>7</v>
      </c>
    </row>
    <row r="28" spans="1:2">
      <c r="A28" s="4" t="s">
        <v>35</v>
      </c>
      <c r="B28" t="s">
        <v>90</v>
      </c>
    </row>
    <row r="29" spans="1:2">
      <c r="A29" s="4" t="s">
        <v>36</v>
      </c>
      <c r="B29" t="s">
        <v>7</v>
      </c>
    </row>
    <row r="30" spans="1:2">
      <c r="A30" s="4" t="s">
        <v>37</v>
      </c>
      <c r="B30" t="s">
        <v>28</v>
      </c>
    </row>
    <row r="31" spans="1:2">
      <c r="A31" s="4" t="s">
        <v>38</v>
      </c>
      <c r="B31" t="s">
        <v>28</v>
      </c>
    </row>
    <row r="32" spans="1:2">
      <c r="A32" s="5" t="s">
        <v>39</v>
      </c>
      <c r="B32" t="s">
        <v>28</v>
      </c>
    </row>
    <row r="33" spans="1:2">
      <c r="A33" s="5" t="s">
        <v>40</v>
      </c>
      <c r="B33" t="s">
        <v>28</v>
      </c>
    </row>
    <row r="34" spans="1:2">
      <c r="A34" s="5" t="s">
        <v>41</v>
      </c>
      <c r="B34" t="s">
        <v>28</v>
      </c>
    </row>
    <row r="35" spans="1:2">
      <c r="A35" s="5" t="s">
        <v>42</v>
      </c>
      <c r="B35" t="s">
        <v>28</v>
      </c>
    </row>
    <row r="36" spans="1:2">
      <c r="A36" s="6" t="s">
        <v>60</v>
      </c>
    </row>
    <row r="37" spans="1:2">
      <c r="A37" s="6" t="s">
        <v>43</v>
      </c>
      <c r="B37" t="s">
        <v>7</v>
      </c>
    </row>
    <row r="38" spans="1:2">
      <c r="A38" s="6" t="s">
        <v>44</v>
      </c>
      <c r="B38" t="s">
        <v>7</v>
      </c>
    </row>
    <row r="39" spans="1:2">
      <c r="A39" s="6" t="s">
        <v>72</v>
      </c>
      <c r="B39" t="s">
        <v>7</v>
      </c>
    </row>
    <row r="40" spans="1:2">
      <c r="A40" s="6" t="s">
        <v>45</v>
      </c>
      <c r="B40" t="s">
        <v>7</v>
      </c>
    </row>
    <row r="41" spans="1:2">
      <c r="A41" s="6" t="s">
        <v>47</v>
      </c>
      <c r="B41" t="s">
        <v>7</v>
      </c>
    </row>
    <row r="42" spans="1:2">
      <c r="A42" s="6" t="s">
        <v>48</v>
      </c>
      <c r="B42" t="s">
        <v>7</v>
      </c>
    </row>
    <row r="43" spans="1:2">
      <c r="A43" s="6" t="s">
        <v>49</v>
      </c>
      <c r="B43" t="s">
        <v>7</v>
      </c>
    </row>
    <row r="44" spans="1:2">
      <c r="A44" s="6" t="s">
        <v>50</v>
      </c>
      <c r="B44" t="s">
        <v>7</v>
      </c>
    </row>
    <row r="45" spans="1:2">
      <c r="A45" s="6" t="s">
        <v>51</v>
      </c>
      <c r="B45" t="s">
        <v>7</v>
      </c>
    </row>
    <row r="46" spans="1:2">
      <c r="A46" s="6" t="s">
        <v>52</v>
      </c>
      <c r="B46" t="s">
        <v>7</v>
      </c>
    </row>
    <row r="47" spans="1:2">
      <c r="A47" s="6" t="s">
        <v>53</v>
      </c>
      <c r="B47" t="s">
        <v>7</v>
      </c>
    </row>
    <row r="48" spans="1:2">
      <c r="A48" s="6" t="s">
        <v>54</v>
      </c>
      <c r="B48" t="s">
        <v>28</v>
      </c>
    </row>
    <row r="49" spans="1:2">
      <c r="A49" s="6" t="s">
        <v>55</v>
      </c>
      <c r="B49" t="s">
        <v>28</v>
      </c>
    </row>
    <row r="50" spans="1:2">
      <c r="A50" s="8" t="s">
        <v>67</v>
      </c>
    </row>
    <row r="51" spans="1:2">
      <c r="A51" t="s">
        <v>46</v>
      </c>
      <c r="B51" t="s">
        <v>28</v>
      </c>
    </row>
    <row r="52" spans="1:2">
      <c r="A52" t="s">
        <v>92</v>
      </c>
      <c r="B52" t="s">
        <v>28</v>
      </c>
    </row>
  </sheetData>
  <phoneticPr fontId="1"/>
  <dataValidations count="1">
    <dataValidation type="list" allowBlank="1" showInputMessage="1" showErrorMessage="1" sqref="B3:B50">
      <formula1>"○,×"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callUserForm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xportAndImportCounter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topLeftCell="A10" workbookViewId="0"/>
  </sheetViews>
  <sheetFormatPr defaultRowHeight="13.5"/>
  <sheetData>
    <row r="1" spans="1:6">
      <c r="A1" t="s">
        <v>73</v>
      </c>
      <c r="B1" t="s">
        <v>87</v>
      </c>
      <c r="C1" t="s">
        <v>58</v>
      </c>
      <c r="D1" t="s">
        <v>87</v>
      </c>
      <c r="E1" t="s">
        <v>60</v>
      </c>
      <c r="F1" t="s">
        <v>87</v>
      </c>
    </row>
    <row r="2" spans="1:6">
      <c r="A2" t="s">
        <v>43</v>
      </c>
      <c r="B2" t="s">
        <v>7</v>
      </c>
      <c r="C2" t="s">
        <v>34</v>
      </c>
      <c r="D2" t="s">
        <v>7</v>
      </c>
      <c r="E2" t="s">
        <v>43</v>
      </c>
      <c r="F2" t="s">
        <v>7</v>
      </c>
    </row>
    <row r="3" spans="1:6">
      <c r="A3" t="s">
        <v>74</v>
      </c>
      <c r="B3" t="s">
        <v>7</v>
      </c>
      <c r="C3" t="s">
        <v>35</v>
      </c>
      <c r="D3" t="s">
        <v>7</v>
      </c>
      <c r="E3" t="s">
        <v>44</v>
      </c>
      <c r="F3" t="s">
        <v>7</v>
      </c>
    </row>
    <row r="4" spans="1:6">
      <c r="A4" t="s">
        <v>44</v>
      </c>
      <c r="B4" t="s">
        <v>7</v>
      </c>
      <c r="C4" t="s">
        <v>36</v>
      </c>
      <c r="D4" t="s">
        <v>7</v>
      </c>
      <c r="E4" t="s">
        <v>72</v>
      </c>
      <c r="F4" t="s">
        <v>7</v>
      </c>
    </row>
    <row r="5" spans="1:6">
      <c r="A5" t="s">
        <v>75</v>
      </c>
      <c r="B5" t="s">
        <v>7</v>
      </c>
      <c r="C5" t="s">
        <v>37</v>
      </c>
      <c r="D5" t="s">
        <v>28</v>
      </c>
      <c r="E5" t="s">
        <v>45</v>
      </c>
      <c r="F5" t="s">
        <v>7</v>
      </c>
    </row>
    <row r="6" spans="1:6">
      <c r="A6" t="s">
        <v>45</v>
      </c>
      <c r="B6" t="s">
        <v>7</v>
      </c>
      <c r="C6" t="s">
        <v>38</v>
      </c>
      <c r="D6" t="s">
        <v>28</v>
      </c>
      <c r="E6" t="s">
        <v>47</v>
      </c>
      <c r="F6" t="s">
        <v>7</v>
      </c>
    </row>
    <row r="7" spans="1:6">
      <c r="A7" t="s">
        <v>76</v>
      </c>
      <c r="B7" t="s">
        <v>28</v>
      </c>
      <c r="C7" t="s">
        <v>39</v>
      </c>
      <c r="D7" t="s">
        <v>28</v>
      </c>
      <c r="E7" t="s">
        <v>48</v>
      </c>
      <c r="F7" t="s">
        <v>7</v>
      </c>
    </row>
    <row r="8" spans="1:6">
      <c r="A8" t="s">
        <v>68</v>
      </c>
      <c r="B8" t="s">
        <v>7</v>
      </c>
      <c r="C8" t="s">
        <v>40</v>
      </c>
      <c r="D8" t="s">
        <v>28</v>
      </c>
      <c r="E8" t="s">
        <v>49</v>
      </c>
      <c r="F8" t="s">
        <v>7</v>
      </c>
    </row>
    <row r="9" spans="1:6">
      <c r="A9" t="s">
        <v>69</v>
      </c>
      <c r="B9" t="s">
        <v>7</v>
      </c>
      <c r="C9" t="s">
        <v>41</v>
      </c>
      <c r="D9" t="s">
        <v>28</v>
      </c>
      <c r="E9" t="s">
        <v>50</v>
      </c>
      <c r="F9" t="s">
        <v>7</v>
      </c>
    </row>
    <row r="10" spans="1:6">
      <c r="A10" t="s">
        <v>77</v>
      </c>
      <c r="B10" t="s">
        <v>7</v>
      </c>
      <c r="C10" t="s">
        <v>42</v>
      </c>
      <c r="D10" t="s">
        <v>28</v>
      </c>
      <c r="E10" t="s">
        <v>51</v>
      </c>
      <c r="F10" t="s">
        <v>7</v>
      </c>
    </row>
    <row r="11" spans="1:6">
      <c r="A11" t="s">
        <v>78</v>
      </c>
      <c r="B11" t="s">
        <v>7</v>
      </c>
      <c r="E11" t="s">
        <v>52</v>
      </c>
      <c r="F11" t="s">
        <v>7</v>
      </c>
    </row>
    <row r="12" spans="1:6">
      <c r="A12" t="s">
        <v>79</v>
      </c>
      <c r="B12" t="s">
        <v>7</v>
      </c>
      <c r="E12" t="s">
        <v>53</v>
      </c>
      <c r="F12" t="s">
        <v>7</v>
      </c>
    </row>
    <row r="13" spans="1:6">
      <c r="A13" t="s">
        <v>80</v>
      </c>
      <c r="B13" t="s">
        <v>7</v>
      </c>
      <c r="E13" t="s">
        <v>54</v>
      </c>
      <c r="F13" t="s">
        <v>28</v>
      </c>
    </row>
    <row r="14" spans="1:6">
      <c r="A14" t="s">
        <v>81</v>
      </c>
      <c r="B14" t="s">
        <v>7</v>
      </c>
      <c r="E14" t="s">
        <v>55</v>
      </c>
      <c r="F14" t="s">
        <v>28</v>
      </c>
    </row>
    <row r="15" spans="1:6">
      <c r="A15" t="s">
        <v>82</v>
      </c>
      <c r="B15" t="s">
        <v>7</v>
      </c>
    </row>
    <row r="16" spans="1:6">
      <c r="A16" t="s">
        <v>83</v>
      </c>
      <c r="B16" t="s">
        <v>7</v>
      </c>
    </row>
    <row r="17" spans="1:2">
      <c r="A17" t="s">
        <v>84</v>
      </c>
      <c r="B17" t="s">
        <v>7</v>
      </c>
    </row>
    <row r="18" spans="1:2">
      <c r="A18" t="s">
        <v>85</v>
      </c>
      <c r="B18" t="s">
        <v>7</v>
      </c>
    </row>
    <row r="19" spans="1:2">
      <c r="A19" t="s">
        <v>53</v>
      </c>
      <c r="B19" t="s">
        <v>7</v>
      </c>
    </row>
    <row r="20" spans="1:2">
      <c r="A20" t="s">
        <v>39</v>
      </c>
      <c r="B20" t="s">
        <v>28</v>
      </c>
    </row>
    <row r="21" spans="1:2">
      <c r="A21" t="s">
        <v>86</v>
      </c>
      <c r="B21" t="s">
        <v>28</v>
      </c>
    </row>
    <row r="22" spans="1:2">
      <c r="A22" t="s">
        <v>54</v>
      </c>
      <c r="B22" t="s">
        <v>28</v>
      </c>
    </row>
    <row r="23" spans="1:2">
      <c r="A23" t="s">
        <v>42</v>
      </c>
      <c r="B23" t="s">
        <v>28</v>
      </c>
    </row>
    <row r="24" spans="1:2">
      <c r="A24" t="s">
        <v>55</v>
      </c>
      <c r="B24" t="s">
        <v>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B10" sqref="B10"/>
    </sheetView>
  </sheetViews>
  <sheetFormatPr defaultRowHeight="13.5"/>
  <cols>
    <col min="1" max="1" width="12.375" bestFit="1" customWidth="1"/>
    <col min="4" max="4" width="14" customWidth="1"/>
  </cols>
  <sheetData>
    <row r="1" spans="1:4">
      <c r="A1" t="s">
        <v>61</v>
      </c>
      <c r="B1" t="s">
        <v>63</v>
      </c>
      <c r="C1" t="s">
        <v>64</v>
      </c>
      <c r="D1" t="s">
        <v>62</v>
      </c>
    </row>
    <row r="2" spans="1:4">
      <c r="A2" t="s">
        <v>99</v>
      </c>
      <c r="B2" t="e">
        <f t="shared" ref="B2:B13" si="0">LEFT(A2,FIND("　",A2)-1)</f>
        <v>#VALUE!</v>
      </c>
      <c r="C2" t="e">
        <f t="shared" ref="C2:C13" si="1">RIGHT(A2,LEN(A2)-FIND("　",A2))</f>
        <v>#VALUE!</v>
      </c>
      <c r="D2" t="s">
        <v>65</v>
      </c>
    </row>
    <row r="3" spans="1:4">
      <c r="A3" t="s">
        <v>99</v>
      </c>
      <c r="B3" t="e">
        <f t="shared" si="0"/>
        <v>#VALUE!</v>
      </c>
      <c r="C3" t="e">
        <f t="shared" si="1"/>
        <v>#VALUE!</v>
      </c>
      <c r="D3" t="s">
        <v>28</v>
      </c>
    </row>
    <row r="4" spans="1:4">
      <c r="A4" t="s">
        <v>99</v>
      </c>
      <c r="B4" t="e">
        <f t="shared" si="0"/>
        <v>#VALUE!</v>
      </c>
      <c r="C4" t="e">
        <f t="shared" si="1"/>
        <v>#VALUE!</v>
      </c>
      <c r="D4" t="s">
        <v>7</v>
      </c>
    </row>
    <row r="5" spans="1:4">
      <c r="A5" t="s">
        <v>99</v>
      </c>
      <c r="B5" t="e">
        <f t="shared" si="0"/>
        <v>#VALUE!</v>
      </c>
      <c r="C5" t="e">
        <f t="shared" si="1"/>
        <v>#VALUE!</v>
      </c>
      <c r="D5" t="s">
        <v>7</v>
      </c>
    </row>
    <row r="6" spans="1:4">
      <c r="A6" t="s">
        <v>99</v>
      </c>
      <c r="B6" t="e">
        <f t="shared" si="0"/>
        <v>#VALUE!</v>
      </c>
      <c r="C6" t="e">
        <f t="shared" si="1"/>
        <v>#VALUE!</v>
      </c>
      <c r="D6" t="s">
        <v>7</v>
      </c>
    </row>
    <row r="7" spans="1:4">
      <c r="A7" t="s">
        <v>99</v>
      </c>
      <c r="B7" t="e">
        <f t="shared" si="0"/>
        <v>#VALUE!</v>
      </c>
      <c r="C7" t="e">
        <f t="shared" si="1"/>
        <v>#VALUE!</v>
      </c>
      <c r="D7" t="s">
        <v>28</v>
      </c>
    </row>
    <row r="8" spans="1:4">
      <c r="A8" t="s">
        <v>99</v>
      </c>
      <c r="B8" t="e">
        <f t="shared" si="0"/>
        <v>#VALUE!</v>
      </c>
      <c r="C8" t="e">
        <f t="shared" si="1"/>
        <v>#VALUE!</v>
      </c>
      <c r="D8" t="s">
        <v>7</v>
      </c>
    </row>
    <row r="9" spans="1:4">
      <c r="A9" t="s">
        <v>99</v>
      </c>
      <c r="B9" t="e">
        <f t="shared" si="0"/>
        <v>#VALUE!</v>
      </c>
      <c r="C9" t="e">
        <f t="shared" si="1"/>
        <v>#VALUE!</v>
      </c>
      <c r="D9" t="s">
        <v>7</v>
      </c>
    </row>
    <row r="10" spans="1:4">
      <c r="A10" t="s">
        <v>99</v>
      </c>
      <c r="B10" t="e">
        <f t="shared" si="0"/>
        <v>#VALUE!</v>
      </c>
      <c r="C10" t="e">
        <f t="shared" si="1"/>
        <v>#VALUE!</v>
      </c>
      <c r="D10" t="s">
        <v>7</v>
      </c>
    </row>
    <row r="11" spans="1:4">
      <c r="A11" t="s">
        <v>99</v>
      </c>
      <c r="B11" t="e">
        <f t="shared" si="0"/>
        <v>#VALUE!</v>
      </c>
      <c r="C11" t="e">
        <f t="shared" si="1"/>
        <v>#VALUE!</v>
      </c>
      <c r="D11" t="s">
        <v>7</v>
      </c>
    </row>
    <row r="12" spans="1:4">
      <c r="A12" t="s">
        <v>99</v>
      </c>
      <c r="B12" t="e">
        <f t="shared" si="0"/>
        <v>#VALUE!</v>
      </c>
      <c r="C12" t="e">
        <f t="shared" si="1"/>
        <v>#VALUE!</v>
      </c>
      <c r="D12" t="s">
        <v>7</v>
      </c>
    </row>
    <row r="13" spans="1:4">
      <c r="A13" t="s">
        <v>99</v>
      </c>
      <c r="B13" t="e">
        <f t="shared" si="0"/>
        <v>#VALUE!</v>
      </c>
      <c r="C13" t="e">
        <f t="shared" si="1"/>
        <v>#VALUE!</v>
      </c>
      <c r="D13" t="s">
        <v>7</v>
      </c>
    </row>
  </sheetData>
  <phoneticPr fontId="1"/>
  <dataValidations count="1">
    <dataValidation type="list" allowBlank="1" showInputMessage="1" showErrorMessage="1" sqref="D2:D13">
      <formula1>"○,×"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輸出入件数取得シート</vt:lpstr>
      <vt:lpstr>Sheet1</vt:lpstr>
      <vt:lpstr>担当者名簿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NEON</dc:creator>
  <cp:lastModifiedBy>NEON</cp:lastModifiedBy>
  <dcterms:created xsi:type="dcterms:W3CDTF">2018-02-22T16:16:03Z</dcterms:created>
  <dcterms:modified xsi:type="dcterms:W3CDTF">2019-06-26T12:00:16Z</dcterms:modified>
</cp:coreProperties>
</file>