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EON\Desktop\Excel\vba_git\bin\"/>
    </mc:Choice>
  </mc:AlternateContent>
  <bookViews>
    <workbookView xWindow="0" yWindow="0" windowWidth="28800" windowHeight="12450"/>
  </bookViews>
  <sheets>
    <sheet name="原紙" sheetId="2" r:id="rId1"/>
    <sheet name="設定" sheetId="3" r:id="rId2"/>
    <sheet name="data" sheetId="1" r:id="rId3"/>
  </sheets>
  <functionGroups builtInGroupCount="18"/>
  <definedNames>
    <definedName name="_xlnm.Print_Area" localSheetId="0">原紙!$A$1:$K$40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7" i="1"/>
  <c r="A8" i="1"/>
  <c r="A3" i="1" l="1"/>
  <c r="A4" i="1" s="1"/>
  <c r="A5" i="1" s="1"/>
  <c r="J6" i="2" l="1"/>
  <c r="K1" i="2"/>
  <c r="A3" i="3" l="1"/>
  <c r="J1" i="2"/>
  <c r="I1" i="2"/>
</calcChain>
</file>

<file path=xl/comments1.xml><?xml version="1.0" encoding="utf-8"?>
<comments xmlns="http://schemas.openxmlformats.org/spreadsheetml/2006/main">
  <authors>
    <author>NEON</author>
  </authors>
  <commentList>
    <comment ref="A7" authorId="0" shapeId="0">
      <text>
        <r>
          <rPr>
            <b/>
            <sz val="12"/>
            <color indexed="81"/>
            <rFont val="ＭＳ Ｐゴシック"/>
            <family val="3"/>
            <charset val="128"/>
          </rPr>
          <t>NEON:</t>
        </r>
        <r>
          <rPr>
            <sz val="12"/>
            <color indexed="81"/>
            <rFont val="ＭＳ Ｐゴシック"/>
            <family val="3"/>
            <charset val="128"/>
          </rPr>
          <t xml:space="preserve">
</t>
        </r>
        <r>
          <rPr>
            <sz val="12"/>
            <color indexed="10"/>
            <rFont val="ＭＳ Ｐゴシック"/>
            <family val="3"/>
            <charset val="128"/>
          </rPr>
          <t>入力
制限
目安</t>
        </r>
      </text>
    </comment>
    <comment ref="K17" authorId="0" shapeId="0">
      <text>
        <r>
          <rPr>
            <b/>
            <sz val="12"/>
            <color indexed="81"/>
            <rFont val="ＭＳ Ｐゴシック"/>
            <family val="3"/>
            <charset val="128"/>
          </rPr>
          <t>NEON:</t>
        </r>
        <r>
          <rPr>
            <sz val="12"/>
            <color indexed="81"/>
            <rFont val="ＭＳ Ｐゴシック"/>
            <family val="3"/>
            <charset val="128"/>
          </rPr>
          <t xml:space="preserve">
</t>
        </r>
        <r>
          <rPr>
            <sz val="12"/>
            <color indexed="10"/>
            <rFont val="ＭＳ Ｐゴシック"/>
            <family val="3"/>
            <charset val="128"/>
          </rPr>
          <t>入力
制限
目安</t>
        </r>
      </text>
    </comment>
    <comment ref="K29" authorId="0" shapeId="0">
      <text>
        <r>
          <rPr>
            <b/>
            <sz val="12"/>
            <color indexed="81"/>
            <rFont val="ＭＳ Ｐゴシック"/>
            <family val="3"/>
            <charset val="128"/>
          </rPr>
          <t>NEON:</t>
        </r>
        <r>
          <rPr>
            <sz val="12"/>
            <color indexed="81"/>
            <rFont val="ＭＳ Ｐゴシック"/>
            <family val="3"/>
            <charset val="128"/>
          </rPr>
          <t xml:space="preserve">
</t>
        </r>
        <r>
          <rPr>
            <sz val="12"/>
            <color indexed="10"/>
            <rFont val="ＭＳ Ｐゴシック"/>
            <family val="3"/>
            <charset val="128"/>
          </rPr>
          <t>入力
制限
目安
53文字</t>
        </r>
      </text>
    </comment>
  </commentList>
</comments>
</file>

<file path=xl/sharedStrings.xml><?xml version="1.0" encoding="utf-8"?>
<sst xmlns="http://schemas.openxmlformats.org/spreadsheetml/2006/main" count="115" uniqueCount="82">
  <si>
    <t>ID</t>
    <phoneticPr fontId="1"/>
  </si>
  <si>
    <t>発生日時</t>
    <rPh sb="0" eb="2">
      <t>ハッセイ</t>
    </rPh>
    <rPh sb="2" eb="4">
      <t>ニチジ</t>
    </rPh>
    <phoneticPr fontId="1"/>
  </si>
  <si>
    <t>報告者</t>
    <rPh sb="0" eb="3">
      <t>ホウコクシャ</t>
    </rPh>
    <phoneticPr fontId="1"/>
  </si>
  <si>
    <t>題名</t>
    <rPh sb="0" eb="2">
      <t>ダイメイ</t>
    </rPh>
    <phoneticPr fontId="1"/>
  </si>
  <si>
    <t>事故分類</t>
    <rPh sb="0" eb="2">
      <t>ジコ</t>
    </rPh>
    <rPh sb="2" eb="4">
      <t>ブンルイ</t>
    </rPh>
    <phoneticPr fontId="1"/>
  </si>
  <si>
    <t>ヒヤリ・ハット報告書</t>
    <rPh sb="7" eb="10">
      <t>ホウコクショ</t>
    </rPh>
    <phoneticPr fontId="1"/>
  </si>
  <si>
    <t>部門</t>
    <rPh sb="0" eb="2">
      <t>ブモン</t>
    </rPh>
    <phoneticPr fontId="1"/>
  </si>
  <si>
    <t>重要度</t>
    <rPh sb="0" eb="3">
      <t>ジュウヨウド</t>
    </rPh>
    <phoneticPr fontId="1"/>
  </si>
  <si>
    <t>ID</t>
  </si>
  <si>
    <t>教育担当者</t>
    <rPh sb="0" eb="2">
      <t>キョウイク</t>
    </rPh>
    <rPh sb="2" eb="4">
      <t>タントウ</t>
    </rPh>
    <rPh sb="4" eb="5">
      <t>シャ</t>
    </rPh>
    <phoneticPr fontId="1"/>
  </si>
  <si>
    <t>留意事項</t>
    <rPh sb="0" eb="2">
      <t>リュウイ</t>
    </rPh>
    <rPh sb="2" eb="4">
      <t>ジコウ</t>
    </rPh>
    <phoneticPr fontId="1"/>
  </si>
  <si>
    <t>教育受講者</t>
    <rPh sb="0" eb="2">
      <t>キョウイク</t>
    </rPh>
    <rPh sb="2" eb="4">
      <t>ジュコウ</t>
    </rPh>
    <rPh sb="4" eb="5">
      <t>シャ</t>
    </rPh>
    <phoneticPr fontId="1"/>
  </si>
  <si>
    <t>内容（記載内容の間違え、チェック漏れしやすい箇所　等）</t>
    <rPh sb="0" eb="2">
      <t>ナイヨウ</t>
    </rPh>
    <rPh sb="3" eb="5">
      <t>キサイ</t>
    </rPh>
    <rPh sb="5" eb="7">
      <t>ナイヨウ</t>
    </rPh>
    <rPh sb="8" eb="10">
      <t>マチガ</t>
    </rPh>
    <rPh sb="16" eb="17">
      <t>モ</t>
    </rPh>
    <rPh sb="22" eb="24">
      <t>カショ</t>
    </rPh>
    <rPh sb="25" eb="26">
      <t>トウ</t>
    </rPh>
    <phoneticPr fontId="1"/>
  </si>
  <si>
    <t>作成日</t>
    <rPh sb="0" eb="3">
      <t>サクセイビ</t>
    </rPh>
    <phoneticPr fontId="1"/>
  </si>
  <si>
    <t>部署ID</t>
    <rPh sb="0" eb="2">
      <t>ブショ</t>
    </rPh>
    <phoneticPr fontId="1"/>
  </si>
  <si>
    <t>TYO</t>
    <phoneticPr fontId="1"/>
  </si>
  <si>
    <t>TTO</t>
    <phoneticPr fontId="1"/>
  </si>
  <si>
    <t>部署名</t>
    <rPh sb="0" eb="2">
      <t>ブショ</t>
    </rPh>
    <rPh sb="2" eb="3">
      <t>メイ</t>
    </rPh>
    <phoneticPr fontId="1"/>
  </si>
  <si>
    <t>TYO</t>
  </si>
  <si>
    <t>事故分類</t>
    <rPh sb="0" eb="2">
      <t>ジコ</t>
    </rPh>
    <rPh sb="2" eb="4">
      <t>ブンルイ</t>
    </rPh>
    <phoneticPr fontId="1"/>
  </si>
  <si>
    <t>チェックミス</t>
    <phoneticPr fontId="1"/>
  </si>
  <si>
    <t>入力ミス</t>
    <rPh sb="0" eb="2">
      <t>ニュウリョク</t>
    </rPh>
    <phoneticPr fontId="1"/>
  </si>
  <si>
    <t>その他</t>
    <rPh sb="2" eb="3">
      <t>タ</t>
    </rPh>
    <phoneticPr fontId="1"/>
  </si>
  <si>
    <t>対策（今後どう気をつけるか、自分ならどう対策するか、手順を変える、注意喚起の表示を作る　等）</t>
    <rPh sb="0" eb="2">
      <t>タイサク</t>
    </rPh>
    <rPh sb="3" eb="5">
      <t>コンゴ</t>
    </rPh>
    <rPh sb="7" eb="8">
      <t>キ</t>
    </rPh>
    <rPh sb="14" eb="16">
      <t>ジブン</t>
    </rPh>
    <rPh sb="20" eb="22">
      <t>タイサク</t>
    </rPh>
    <rPh sb="26" eb="28">
      <t>テジュン</t>
    </rPh>
    <rPh sb="29" eb="30">
      <t>カ</t>
    </rPh>
    <rPh sb="33" eb="35">
      <t>チュウイ</t>
    </rPh>
    <rPh sb="35" eb="37">
      <t>カンキ</t>
    </rPh>
    <rPh sb="38" eb="40">
      <t>ヒョウジ</t>
    </rPh>
    <rPh sb="41" eb="42">
      <t>ツク</t>
    </rPh>
    <rPh sb="44" eb="45">
      <t>トウ</t>
    </rPh>
    <phoneticPr fontId="1"/>
  </si>
  <si>
    <t>原因（なぜ間違えたか、担当者が変わった等の変化点があった、業務に追われていて余裕がなかった　等）</t>
    <rPh sb="0" eb="2">
      <t>ゲンイン</t>
    </rPh>
    <rPh sb="5" eb="7">
      <t>マチガ</t>
    </rPh>
    <rPh sb="11" eb="14">
      <t>タントウシャ</t>
    </rPh>
    <rPh sb="15" eb="16">
      <t>カ</t>
    </rPh>
    <rPh sb="19" eb="20">
      <t>トウ</t>
    </rPh>
    <rPh sb="21" eb="23">
      <t>ヘンカ</t>
    </rPh>
    <rPh sb="23" eb="24">
      <t>テン</t>
    </rPh>
    <rPh sb="29" eb="31">
      <t>ギョウム</t>
    </rPh>
    <rPh sb="32" eb="33">
      <t>オ</t>
    </rPh>
    <rPh sb="38" eb="40">
      <t>ヨユウ</t>
    </rPh>
    <rPh sb="46" eb="47">
      <t>トウ</t>
    </rPh>
    <phoneticPr fontId="1"/>
  </si>
  <si>
    <t>管理者</t>
    <rPh sb="0" eb="3">
      <t>カンリシャ</t>
    </rPh>
    <phoneticPr fontId="1"/>
  </si>
  <si>
    <t>発生日時</t>
    <rPh sb="0" eb="2">
      <t>ハッセイ</t>
    </rPh>
    <rPh sb="2" eb="4">
      <t>ニチジ</t>
    </rPh>
    <phoneticPr fontId="1"/>
  </si>
  <si>
    <t>重要度</t>
    <rPh sb="0" eb="3">
      <t>ジュウヨウド</t>
    </rPh>
    <phoneticPr fontId="1"/>
  </si>
  <si>
    <t>重度の誤謬</t>
    <rPh sb="0" eb="2">
      <t>ジュウド</t>
    </rPh>
    <rPh sb="3" eb="5">
      <t>ゴビュウ</t>
    </rPh>
    <phoneticPr fontId="1"/>
  </si>
  <si>
    <t>軽度の誤謬</t>
    <rPh sb="0" eb="2">
      <t>ケイド</t>
    </rPh>
    <rPh sb="3" eb="5">
      <t>ゴビュウ</t>
    </rPh>
    <phoneticPr fontId="1"/>
  </si>
  <si>
    <t>想定される誤謬</t>
    <rPh sb="0" eb="2">
      <t>ソウテイ</t>
    </rPh>
    <rPh sb="5" eb="7">
      <t>ゴビュウ</t>
    </rPh>
    <phoneticPr fontId="1"/>
  </si>
  <si>
    <t>報告者</t>
    <rPh sb="0" eb="3">
      <t>ホウコクシャ</t>
    </rPh>
    <phoneticPr fontId="1"/>
  </si>
  <si>
    <t>チェックミス</t>
  </si>
  <si>
    <t>詳細（手書きの図面,PDFファイル　等）</t>
    <rPh sb="0" eb="2">
      <t>ショウサイ</t>
    </rPh>
    <rPh sb="3" eb="5">
      <t>テガ</t>
    </rPh>
    <rPh sb="7" eb="9">
      <t>ズメン</t>
    </rPh>
    <rPh sb="18" eb="19">
      <t>トウ</t>
    </rPh>
    <phoneticPr fontId="1"/>
  </si>
  <si>
    <t>題名</t>
    <rPh sb="0" eb="2">
      <t>ダイメイ</t>
    </rPh>
    <phoneticPr fontId="1"/>
  </si>
  <si>
    <t>データの使い回し</t>
    <rPh sb="4" eb="5">
      <t>ツカ</t>
    </rPh>
    <rPh sb="6" eb="7">
      <t>マワ</t>
    </rPh>
    <phoneticPr fontId="1"/>
  </si>
  <si>
    <t>内容</t>
    <rPh sb="0" eb="2">
      <t>ナイヨウ</t>
    </rPh>
    <phoneticPr fontId="1"/>
  </si>
  <si>
    <t>詳細</t>
    <rPh sb="0" eb="2">
      <t>ショウサイ</t>
    </rPh>
    <phoneticPr fontId="1"/>
  </si>
  <si>
    <t>様式:YKO-001</t>
    <rPh sb="0" eb="2">
      <t>ヨウシキ</t>
    </rPh>
    <phoneticPr fontId="1"/>
  </si>
  <si>
    <t>・当該書類は、報告者を罰するものとして使用する物ではなく、社内での誤謬率の低減を</t>
    <rPh sb="1" eb="3">
      <t>トウガイ</t>
    </rPh>
    <rPh sb="3" eb="5">
      <t>ショルイ</t>
    </rPh>
    <rPh sb="7" eb="10">
      <t>ホウコクシャ</t>
    </rPh>
    <rPh sb="11" eb="12">
      <t>バッ</t>
    </rPh>
    <rPh sb="19" eb="21">
      <t>シヨウ</t>
    </rPh>
    <rPh sb="23" eb="24">
      <t>モノ</t>
    </rPh>
    <rPh sb="29" eb="31">
      <t>シャナイ</t>
    </rPh>
    <rPh sb="33" eb="35">
      <t>ゴビュウ</t>
    </rPh>
    <rPh sb="35" eb="36">
      <t>リツ</t>
    </rPh>
    <rPh sb="37" eb="39">
      <t>テイゲン</t>
    </rPh>
    <phoneticPr fontId="1"/>
  </si>
  <si>
    <t>　目指し、安全を第一とした業務改善の一環として使用するものとする。</t>
    <rPh sb="5" eb="7">
      <t>アンゼン</t>
    </rPh>
    <rPh sb="8" eb="10">
      <t>ダイイチ</t>
    </rPh>
    <rPh sb="18" eb="20">
      <t>イッカン</t>
    </rPh>
    <phoneticPr fontId="1"/>
  </si>
  <si>
    <r>
      <t xml:space="preserve">管理者記入事項（管理者視点での対策、感想　等）   </t>
    </r>
    <r>
      <rPr>
        <b/>
        <sz val="11"/>
        <color theme="1"/>
        <rFont val="ＭＳ 明朝"/>
        <family val="1"/>
        <charset val="128"/>
      </rPr>
      <t>*管理者以外記入しないでください。</t>
    </r>
    <rPh sb="0" eb="3">
      <t>カンリシャ</t>
    </rPh>
    <rPh sb="3" eb="5">
      <t>キニュウ</t>
    </rPh>
    <rPh sb="5" eb="7">
      <t>ジコウ</t>
    </rPh>
    <rPh sb="8" eb="13">
      <t>カンリシャシテン</t>
    </rPh>
    <rPh sb="15" eb="17">
      <t>タイサク</t>
    </rPh>
    <rPh sb="18" eb="20">
      <t>カンソウ</t>
    </rPh>
    <rPh sb="21" eb="22">
      <t>トウ</t>
    </rPh>
    <rPh sb="27" eb="30">
      <t>カンリシャ</t>
    </rPh>
    <rPh sb="30" eb="32">
      <t>イガイ</t>
    </rPh>
    <rPh sb="32" eb="34">
      <t>キニュウ</t>
    </rPh>
    <phoneticPr fontId="1"/>
  </si>
  <si>
    <t>原因</t>
    <rPh sb="0" eb="2">
      <t>ゲンイン</t>
    </rPh>
    <phoneticPr fontId="1"/>
  </si>
  <si>
    <t>対策</t>
    <rPh sb="0" eb="2">
      <t>タイサク</t>
    </rPh>
    <phoneticPr fontId="1"/>
  </si>
  <si>
    <t>要望・提案</t>
    <rPh sb="0" eb="2">
      <t>ヨウボウ</t>
    </rPh>
    <rPh sb="3" eb="5">
      <t>テイアン</t>
    </rPh>
    <phoneticPr fontId="1"/>
  </si>
  <si>
    <t>はいぱーりんく</t>
    <phoneticPr fontId="1"/>
  </si>
  <si>
    <t>・当該書類を用いて教育者より指導を受けた者は、当該書類の受講者欄に承認印</t>
    <rPh sb="1" eb="3">
      <t>トウガイ</t>
    </rPh>
    <rPh sb="3" eb="5">
      <t>ショルイ</t>
    </rPh>
    <rPh sb="6" eb="7">
      <t>モチ</t>
    </rPh>
    <rPh sb="9" eb="12">
      <t>キョウイクシャ</t>
    </rPh>
    <rPh sb="14" eb="16">
      <t>シドウ</t>
    </rPh>
    <rPh sb="17" eb="18">
      <t>ウ</t>
    </rPh>
    <rPh sb="20" eb="21">
      <t>モノ</t>
    </rPh>
    <rPh sb="23" eb="25">
      <t>トウガイ</t>
    </rPh>
    <rPh sb="25" eb="27">
      <t>ショルイ</t>
    </rPh>
    <rPh sb="28" eb="31">
      <t>ジュコウシャ</t>
    </rPh>
    <rPh sb="31" eb="32">
      <t>ラン</t>
    </rPh>
    <rPh sb="33" eb="35">
      <t>ショウニン</t>
    </rPh>
    <rPh sb="35" eb="36">
      <t>イン</t>
    </rPh>
    <phoneticPr fontId="1"/>
  </si>
  <si>
    <t>　（サインでも可）をして、同種の誤謬を起こさないよう勤めること。</t>
    <phoneticPr fontId="1"/>
  </si>
  <si>
    <t>保存してないデータを守るマクロも</t>
    <rPh sb="0" eb="2">
      <t>ホゾン</t>
    </rPh>
    <rPh sb="10" eb="11">
      <t>マモ</t>
    </rPh>
    <phoneticPr fontId="1"/>
  </si>
  <si>
    <t>OLT申請の為フォームを使い入力控えを作成しようとした</t>
  </si>
  <si>
    <t>ところ、フォームがOLAではなくOLCのものだった。</t>
  </si>
  <si>
    <t>出発地に蔵地場に搬入されていなかったため</t>
  </si>
  <si>
    <t>データ送信時にエラーが起きたため</t>
  </si>
  <si>
    <t>送信されなかった。</t>
  </si>
  <si>
    <t>データの使い回し</t>
    <phoneticPr fontId="1"/>
  </si>
  <si>
    <t>OLT テンプレートの使い回しによる思い込み</t>
    <phoneticPr fontId="1"/>
  </si>
  <si>
    <t>要望・提案　等（備品や設備の購入、手順書の変更、関連部署との協力　等）</t>
    <rPh sb="0" eb="2">
      <t>ヨウボウ</t>
    </rPh>
    <rPh sb="3" eb="5">
      <t>テイアン</t>
    </rPh>
    <rPh sb="6" eb="7">
      <t>トウ</t>
    </rPh>
    <rPh sb="8" eb="10">
      <t>ビヒン</t>
    </rPh>
    <rPh sb="11" eb="13">
      <t>セツビ</t>
    </rPh>
    <rPh sb="14" eb="16">
      <t>コウニュウ</t>
    </rPh>
    <rPh sb="17" eb="19">
      <t>テジュン</t>
    </rPh>
    <rPh sb="19" eb="20">
      <t>ショ</t>
    </rPh>
    <rPh sb="21" eb="23">
      <t>ヘンコウ</t>
    </rPh>
    <rPh sb="24" eb="26">
      <t>カンレン</t>
    </rPh>
    <rPh sb="26" eb="28">
      <t>ブショ</t>
    </rPh>
    <rPh sb="30" eb="32">
      <t>キョウリョク</t>
    </rPh>
    <rPh sb="33" eb="34">
      <t>トウ</t>
    </rPh>
    <phoneticPr fontId="1"/>
  </si>
  <si>
    <t>添付書類参照</t>
    <rPh sb="0" eb="2">
      <t>テンプ</t>
    </rPh>
    <rPh sb="2" eb="4">
      <t>ショルイ</t>
    </rPh>
    <rPh sb="4" eb="6">
      <t>サンショウ</t>
    </rPh>
    <phoneticPr fontId="1"/>
  </si>
  <si>
    <t>普段から問題の部分はチェックしていなかった。,,チェックしなくても非違には繋がらないから。,,数字表記の金額があっていれば問題ないと思っていたから。</t>
  </si>
  <si>
    <t>チェックする項目に含める。,,手順書を作成し、チェック必須項目とそうじゃない項目をわかるようにする。,,</t>
    <phoneticPr fontId="1"/>
  </si>
  <si>
    <t>手順書がある場合は手順書の内容を変更する。,,,,</t>
    <phoneticPr fontId="1"/>
  </si>
  <si>
    <t>あああ,,いいい,,ううう</t>
    <phoneticPr fontId="1"/>
  </si>
  <si>
    <t>フォームがOLAのものと思い込んでいた。,,ファイル名がOLAだったので思い込みが生じた。,,OLCのNACCSの入力画面がOLAとほぼ同一だった。</t>
    <rPh sb="12" eb="13">
      <t>オモ</t>
    </rPh>
    <rPh sb="14" eb="15">
      <t>コ</t>
    </rPh>
    <rPh sb="26" eb="27">
      <t>メイ</t>
    </rPh>
    <rPh sb="36" eb="37">
      <t>オモ</t>
    </rPh>
    <rPh sb="38" eb="39">
      <t>コ</t>
    </rPh>
    <rPh sb="41" eb="42">
      <t>ショウ</t>
    </rPh>
    <rPh sb="57" eb="59">
      <t>ニュウリョク</t>
    </rPh>
    <rPh sb="59" eb="61">
      <t>ガメン</t>
    </rPh>
    <rPh sb="68" eb="70">
      <t>ドウイツ</t>
    </rPh>
    <phoneticPr fontId="1"/>
  </si>
  <si>
    <t>入力画面タイトルを確認する。,,保存されたフォームそのものも間違いがあると認識する。,,あと何か</t>
    <rPh sb="0" eb="2">
      <t>ニュウリョク</t>
    </rPh>
    <rPh sb="2" eb="4">
      <t>ガメン</t>
    </rPh>
    <rPh sb="9" eb="11">
      <t>カクニン</t>
    </rPh>
    <rPh sb="16" eb="18">
      <t>ホゾン</t>
    </rPh>
    <rPh sb="30" eb="32">
      <t>マチガ</t>
    </rPh>
    <rPh sb="37" eb="39">
      <t>ニンシキ</t>
    </rPh>
    <rPh sb="46" eb="47">
      <t>ナニ</t>
    </rPh>
    <phoneticPr fontId="1"/>
  </si>
  <si>
    <t>フォーム保存時に作成者以外の人にチェックしてもらう。,,NACCSにはないNACCS入力事項を作成するマクロの作成。,,</t>
    <rPh sb="4" eb="6">
      <t>ホゾン</t>
    </rPh>
    <rPh sb="6" eb="7">
      <t>ジ</t>
    </rPh>
    <rPh sb="8" eb="11">
      <t>サクセイシャ</t>
    </rPh>
    <rPh sb="11" eb="13">
      <t>イガイ</t>
    </rPh>
    <rPh sb="14" eb="15">
      <t>ヒト</t>
    </rPh>
    <rPh sb="42" eb="44">
      <t>ニュウリョク</t>
    </rPh>
    <rPh sb="44" eb="46">
      <t>ジコウ</t>
    </rPh>
    <rPh sb="47" eb="49">
      <t>サクセイ</t>
    </rPh>
    <rPh sb="55" eb="57">
      <t>サクセイ</t>
    </rPh>
    <phoneticPr fontId="1"/>
  </si>
  <si>
    <t>フォームがOLAのものと思い込んでいた。</t>
  </si>
  <si>
    <t>ファイル名がOLAだったので思い込みが生じた。</t>
  </si>
  <si>
    <t>OLCのNACCSの入力画面がOLAとほぼ同一だった。</t>
  </si>
  <si>
    <t>入力画面タイトルを確認する。</t>
  </si>
  <si>
    <t>保存されたフォームそのものも間違いがあると認識する。</t>
  </si>
  <si>
    <t>あと何か</t>
  </si>
  <si>
    <t>フォーム保存時に作成者以外の人にチェックしてもらう。</t>
  </si>
  <si>
    <t>NACCSにはないNACCS入力事項を作成するマクロの作成。</t>
  </si>
  <si>
    <t>管理者記入事項</t>
    <rPh sb="0" eb="3">
      <t>カンリシャキニュウ2</t>
    </rPh>
    <phoneticPr fontId="1"/>
  </si>
  <si>
    <t>かかか,,ききき,,くくく</t>
    <phoneticPr fontId="1"/>
  </si>
  <si>
    <t>かかか</t>
  </si>
  <si>
    <t>ききき</t>
  </si>
  <si>
    <t>くくく</t>
  </si>
  <si>
    <t>'----</t>
  </si>
  <si>
    <t>'-------</t>
  </si>
  <si>
    <t>***課</t>
    <rPh sb="3" eb="4">
      <t>カ</t>
    </rPh>
    <phoneticPr fontId="1"/>
  </si>
  <si>
    <t>----------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</si>
</sst>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000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4"/>
      <color theme="1"/>
      <name val="ＭＳ 明朝"/>
      <family val="1"/>
      <charset val="128"/>
    </font>
    <font>
      <sz val="11"/>
      <color theme="1"/>
      <name val="ＭＳ 明朝"/>
      <family val="1"/>
      <charset val="128"/>
    </font>
    <font>
      <b/>
      <sz val="11"/>
      <color theme="1"/>
      <name val="ＭＳ 明朝"/>
      <family val="1"/>
      <charset val="128"/>
    </font>
    <font>
      <sz val="12"/>
      <color indexed="81"/>
      <name val="ＭＳ Ｐゴシック"/>
      <family val="3"/>
      <charset val="128"/>
    </font>
    <font>
      <b/>
      <sz val="12"/>
      <color indexed="81"/>
      <name val="ＭＳ Ｐゴシック"/>
      <family val="3"/>
      <charset val="128"/>
    </font>
    <font>
      <sz val="12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theme="5" tint="0.79998168889431442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indexed="64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/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indexed="64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</borders>
  <cellStyleXfs count="1">
    <xf numFmtId="0" fontId="0" fillId="0" borderId="0">
      <alignment vertical="center"/>
    </xf>
  </cellStyleXfs>
  <cellXfs count="71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>
      <alignment vertical="center"/>
    </xf>
    <xf numFmtId="0" fontId="3" fillId="0" borderId="4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3" fillId="0" borderId="9" xfId="0" applyFont="1" applyBorder="1" applyAlignment="1">
      <alignment horizontal="left" vertical="center" indent="5"/>
    </xf>
    <xf numFmtId="0" fontId="3" fillId="0" borderId="9" xfId="0" applyFont="1" applyFill="1" applyBorder="1" applyAlignment="1">
      <alignment horizontal="left" vertical="center" indent="5"/>
    </xf>
    <xf numFmtId="0" fontId="3" fillId="0" borderId="10" xfId="0" applyFont="1" applyBorder="1" applyAlignment="1">
      <alignment horizontal="left" vertical="center" indent="5"/>
    </xf>
    <xf numFmtId="0" fontId="3" fillId="0" borderId="3" xfId="0" applyFont="1" applyFill="1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3" fillId="0" borderId="5" xfId="0" applyNumberFormat="1" applyFont="1" applyBorder="1" applyAlignment="1">
      <alignment horizontal="center" vertical="center"/>
    </xf>
    <xf numFmtId="0" fontId="3" fillId="0" borderId="11" xfId="0" applyFont="1" applyFill="1" applyBorder="1">
      <alignment vertical="center"/>
    </xf>
    <xf numFmtId="0" fontId="3" fillId="0" borderId="12" xfId="0" applyFont="1" applyFill="1" applyBorder="1">
      <alignment vertical="center"/>
    </xf>
    <xf numFmtId="0" fontId="0" fillId="0" borderId="0" xfId="0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31" fontId="0" fillId="0" borderId="0" xfId="0" applyNumberFormat="1">
      <alignment vertical="center"/>
    </xf>
    <xf numFmtId="0" fontId="3" fillId="0" borderId="6" xfId="0" applyFont="1" applyBorder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>
      <alignment vertical="center"/>
    </xf>
    <xf numFmtId="0" fontId="3" fillId="0" borderId="16" xfId="0" applyFont="1" applyBorder="1">
      <alignment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>
      <alignment vertical="center"/>
    </xf>
    <xf numFmtId="0" fontId="3" fillId="0" borderId="19" xfId="0" applyFont="1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3" fillId="0" borderId="18" xfId="0" applyFont="1" applyFill="1" applyBorder="1">
      <alignment vertical="center"/>
    </xf>
    <xf numFmtId="0" fontId="3" fillId="0" borderId="19" xfId="0" applyFont="1" applyFill="1" applyBorder="1">
      <alignment vertical="center"/>
    </xf>
    <xf numFmtId="0" fontId="3" fillId="0" borderId="20" xfId="0" applyFont="1" applyBorder="1">
      <alignment vertical="center"/>
    </xf>
    <xf numFmtId="0" fontId="3" fillId="0" borderId="21" xfId="0" applyFont="1" applyBorder="1">
      <alignment vertical="center"/>
    </xf>
    <xf numFmtId="0" fontId="3" fillId="0" borderId="22" xfId="0" applyFont="1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7" xfId="0" applyNumberFormat="1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0" xfId="0" applyAlignment="1">
      <alignment horizontal="fill" vertical="center"/>
    </xf>
    <xf numFmtId="14" fontId="0" fillId="0" borderId="0" xfId="0" applyNumberFormat="1" applyAlignment="1">
      <alignment horizontal="fill" vertical="center"/>
    </xf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31" fontId="3" fillId="0" borderId="3" xfId="0" applyNumberFormat="1" applyFont="1" applyBorder="1" applyAlignment="1">
      <alignment horizontal="center" vertical="center"/>
    </xf>
    <xf numFmtId="31" fontId="3" fillId="0" borderId="5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left" vertical="center"/>
    </xf>
    <xf numFmtId="0" fontId="0" fillId="0" borderId="0" xfId="0" quotePrefix="1">
      <alignment vertical="center"/>
    </xf>
    <xf numFmtId="0" fontId="0" fillId="2" borderId="23" xfId="0" quotePrefix="1" applyFont="1" applyFill="1" applyBorder="1">
      <alignment vertical="center"/>
    </xf>
  </cellXfs>
  <cellStyles count="1">
    <cellStyle name="標準" xfId="0" builtinId="0"/>
  </cellStyles>
  <dxfs count="19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fill" vertical="center" textRotation="0" wrapText="0" indent="0" justifyLastLine="0" shrinkToFit="0" readingOrder="0"/>
    </dxf>
    <dxf>
      <alignment horizontal="fill" vertical="center" textRotation="0" wrapText="0" indent="0" justifyLastLine="0" shrinkToFit="0" readingOrder="0"/>
    </dxf>
    <dxf>
      <alignment horizontal="fill" vertical="center" textRotation="0" wrapText="0" indent="0" justifyLastLine="0" shrinkToFit="0" readingOrder="0"/>
    </dxf>
    <dxf>
      <numFmt numFmtId="41" formatCode="yyyy&quot;年&quot;m&quot;月&quot;d&quot;日&quot;"/>
    </dxf>
    <dxf>
      <numFmt numFmtId="176" formatCode="000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37" name="CommandButton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4</xdr:row>
          <xdr:rowOff>142875</xdr:rowOff>
        </xdr:from>
        <xdr:to>
          <xdr:col>3</xdr:col>
          <xdr:colOff>438150</xdr:colOff>
          <xdr:row>4</xdr:row>
          <xdr:rowOff>390525</xdr:rowOff>
        </xdr:to>
        <xdr:sp macro="" textlink="">
          <xdr:nvSpPr>
            <xdr:cNvPr id="1040" name="CheckBox1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</xdr:row>
          <xdr:rowOff>142875</xdr:rowOff>
        </xdr:from>
        <xdr:to>
          <xdr:col>5</xdr:col>
          <xdr:colOff>438150</xdr:colOff>
          <xdr:row>4</xdr:row>
          <xdr:rowOff>390525</xdr:rowOff>
        </xdr:to>
        <xdr:sp macro="" textlink="">
          <xdr:nvSpPr>
            <xdr:cNvPr id="1041" name="CheckBox2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4</xdr:row>
          <xdr:rowOff>142875</xdr:rowOff>
        </xdr:from>
        <xdr:to>
          <xdr:col>7</xdr:col>
          <xdr:colOff>438150</xdr:colOff>
          <xdr:row>4</xdr:row>
          <xdr:rowOff>390525</xdr:rowOff>
        </xdr:to>
        <xdr:sp macro="" textlink="">
          <xdr:nvSpPr>
            <xdr:cNvPr id="1042" name="CheckBox3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247650</xdr:rowOff>
        </xdr:from>
        <xdr:to>
          <xdr:col>11</xdr:col>
          <xdr:colOff>295275</xdr:colOff>
          <xdr:row>3</xdr:row>
          <xdr:rowOff>1121</xdr:rowOff>
        </xdr:to>
        <xdr:sp macro="" textlink="">
          <xdr:nvSpPr>
            <xdr:cNvPr id="1045" name="SpinButton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4</xdr:row>
          <xdr:rowOff>0</xdr:rowOff>
        </xdr:from>
        <xdr:to>
          <xdr:col>17</xdr:col>
          <xdr:colOff>0</xdr:colOff>
          <xdr:row>4</xdr:row>
          <xdr:rowOff>495300</xdr:rowOff>
        </xdr:to>
        <xdr:sp macro="" textlink="">
          <xdr:nvSpPr>
            <xdr:cNvPr id="1047" name="CommandButton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313764</xdr:colOff>
      <xdr:row>2</xdr:row>
      <xdr:rowOff>190500</xdr:rowOff>
    </xdr:from>
    <xdr:to>
      <xdr:col>11</xdr:col>
      <xdr:colOff>638734</xdr:colOff>
      <xdr:row>4</xdr:row>
      <xdr:rowOff>313764</xdr:rowOff>
    </xdr:to>
    <xdr:sp macro="" textlink="">
      <xdr:nvSpPr>
        <xdr:cNvPr id="2" name="下矢印 1"/>
        <xdr:cNvSpPr/>
      </xdr:nvSpPr>
      <xdr:spPr>
        <a:xfrm rot="8230171">
          <a:off x="8169088" y="683559"/>
          <a:ext cx="324970" cy="61632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A1:M8" totalsRowShown="0">
  <autoFilter ref="A1:M8"/>
  <tableColumns count="13">
    <tableColumn id="1" name="ID" dataDxfId="8"/>
    <tableColumn id="2" name="報告者"/>
    <tableColumn id="3" name="発生日時" dataDxfId="7"/>
    <tableColumn id="14" name="重要度"/>
    <tableColumn id="5" name="事故分類"/>
    <tableColumn id="4" name="題名"/>
    <tableColumn id="6" name="内容" dataDxfId="6"/>
    <tableColumn id="16" name="詳細" dataDxfId="5"/>
    <tableColumn id="10" name="原因" dataDxfId="4"/>
    <tableColumn id="11" name="対策" dataDxfId="3"/>
    <tableColumn id="12" name="要望・提案" dataDxfId="2"/>
    <tableColumn id="13" name="管理者" dataDxfId="1"/>
    <tableColumn id="7" name="管理者記入事項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40"/>
  <sheetViews>
    <sheetView tabSelected="1" zoomScale="85" zoomScaleNormal="85" workbookViewId="0">
      <pane ySplit="6" topLeftCell="A7" activePane="bottomLeft" state="frozen"/>
      <selection pane="bottomLeft" activeCell="D31" sqref="D31"/>
    </sheetView>
  </sheetViews>
  <sheetFormatPr defaultRowHeight="20.100000000000001" customHeight="1" x14ac:dyDescent="0.15"/>
  <cols>
    <col min="1" max="1" width="12.75" bestFit="1" customWidth="1"/>
    <col min="2" max="8" width="8.625" customWidth="1"/>
    <col min="9" max="9" width="9.625" customWidth="1"/>
    <col min="10" max="11" width="8.625" customWidth="1"/>
  </cols>
  <sheetData>
    <row r="1" spans="1:13" ht="20.100000000000001" customHeight="1" x14ac:dyDescent="0.15">
      <c r="A1" s="42" t="s">
        <v>38</v>
      </c>
      <c r="B1" s="43"/>
      <c r="C1" s="43"/>
      <c r="D1" s="43"/>
      <c r="E1" s="43"/>
      <c r="F1" s="43"/>
      <c r="G1" s="43"/>
      <c r="H1" s="43" t="s">
        <v>13</v>
      </c>
      <c r="I1" s="44" t="str">
        <f ca="1">YEAR(TODAY()) &amp; "年"</f>
        <v>2019年</v>
      </c>
      <c r="J1" s="45" t="str">
        <f ca="1">MONTH(TODAY()) &amp; "月"</f>
        <v>6月</v>
      </c>
      <c r="K1" s="46" t="str">
        <f ca="1">DAY(TODAY()) &amp; "日"</f>
        <v>26日</v>
      </c>
    </row>
    <row r="2" spans="1:13" ht="20.100000000000001" customHeight="1" x14ac:dyDescent="0.15">
      <c r="A2" s="52" t="s">
        <v>5</v>
      </c>
      <c r="B2" s="53"/>
      <c r="C2" s="53"/>
      <c r="D2" s="53"/>
      <c r="E2" s="53"/>
      <c r="F2" s="53"/>
      <c r="G2" s="53"/>
      <c r="H2" s="54"/>
      <c r="I2" s="1" t="s">
        <v>8</v>
      </c>
      <c r="J2" s="23" t="s">
        <v>18</v>
      </c>
      <c r="K2" s="19">
        <v>2</v>
      </c>
    </row>
    <row r="3" spans="1:13" ht="20.100000000000001" customHeight="1" x14ac:dyDescent="0.15">
      <c r="A3" s="55"/>
      <c r="B3" s="56"/>
      <c r="C3" s="56"/>
      <c r="D3" s="56"/>
      <c r="E3" s="56"/>
      <c r="F3" s="56"/>
      <c r="G3" s="56"/>
      <c r="H3" s="57"/>
      <c r="I3" s="1" t="s">
        <v>2</v>
      </c>
      <c r="J3" s="61" t="s">
        <v>79</v>
      </c>
      <c r="K3" s="62"/>
    </row>
    <row r="4" spans="1:13" ht="20.100000000000001" customHeight="1" x14ac:dyDescent="0.15">
      <c r="A4" s="58"/>
      <c r="B4" s="59"/>
      <c r="C4" s="59"/>
      <c r="D4" s="59"/>
      <c r="E4" s="59"/>
      <c r="F4" s="59"/>
      <c r="G4" s="59"/>
      <c r="H4" s="60"/>
      <c r="I4" s="1" t="s">
        <v>1</v>
      </c>
      <c r="J4" s="63">
        <v>43173</v>
      </c>
      <c r="K4" s="64"/>
    </row>
    <row r="5" spans="1:13" ht="39.950000000000003" customHeight="1" x14ac:dyDescent="0.15">
      <c r="A5" s="1" t="s">
        <v>7</v>
      </c>
      <c r="B5" s="5"/>
      <c r="C5" s="5"/>
      <c r="D5" s="5"/>
      <c r="E5" s="5"/>
      <c r="F5" s="5"/>
      <c r="G5" s="5"/>
      <c r="H5" s="24"/>
      <c r="I5" s="1" t="s">
        <v>4</v>
      </c>
      <c r="J5" s="65" t="s">
        <v>54</v>
      </c>
      <c r="K5" s="66"/>
      <c r="M5" t="s">
        <v>48</v>
      </c>
    </row>
    <row r="6" spans="1:13" ht="39.950000000000003" customHeight="1" x14ac:dyDescent="0.15">
      <c r="A6" s="1" t="s">
        <v>3</v>
      </c>
      <c r="B6" s="61" t="s">
        <v>55</v>
      </c>
      <c r="C6" s="67"/>
      <c r="D6" s="67"/>
      <c r="E6" s="67"/>
      <c r="F6" s="67"/>
      <c r="G6" s="67"/>
      <c r="H6" s="62"/>
      <c r="I6" s="1" t="s">
        <v>6</v>
      </c>
      <c r="J6" s="65" t="str">
        <f>VLOOKUP($J$2,設定!B2:C100,2,FALSE)</f>
        <v>***課</v>
      </c>
      <c r="K6" s="66"/>
    </row>
    <row r="7" spans="1:13" ht="20.100000000000001" customHeight="1" x14ac:dyDescent="0.15">
      <c r="A7" s="49" t="s">
        <v>12</v>
      </c>
      <c r="B7" s="50"/>
      <c r="C7" s="50"/>
      <c r="D7" s="50"/>
      <c r="E7" s="50"/>
      <c r="F7" s="68"/>
      <c r="G7" s="2" t="s">
        <v>33</v>
      </c>
      <c r="H7" s="3"/>
      <c r="I7" s="3"/>
      <c r="J7" s="3"/>
      <c r="K7" s="7"/>
    </row>
    <row r="8" spans="1:13" ht="20.100000000000001" customHeight="1" x14ac:dyDescent="0.15">
      <c r="A8" s="39" t="s">
        <v>49</v>
      </c>
      <c r="B8" s="30"/>
      <c r="C8" s="30"/>
      <c r="D8" s="30"/>
      <c r="E8" s="30"/>
      <c r="F8" s="31"/>
      <c r="G8" s="8" t="s">
        <v>57</v>
      </c>
      <c r="H8" s="5"/>
      <c r="I8" s="5"/>
      <c r="J8" s="5"/>
      <c r="K8" s="9"/>
    </row>
    <row r="9" spans="1:13" ht="20.100000000000001" customHeight="1" x14ac:dyDescent="0.15">
      <c r="A9" s="40" t="s">
        <v>50</v>
      </c>
      <c r="B9" s="33"/>
      <c r="C9" s="33"/>
      <c r="D9" s="33"/>
      <c r="E9" s="33"/>
      <c r="F9" s="34"/>
      <c r="G9" s="8"/>
      <c r="H9" s="5"/>
      <c r="I9" s="5"/>
      <c r="J9" s="5"/>
      <c r="K9" s="9"/>
    </row>
    <row r="10" spans="1:13" ht="20.100000000000001" customHeight="1" x14ac:dyDescent="0.15">
      <c r="A10" s="40" t="s">
        <v>51</v>
      </c>
      <c r="B10" s="33"/>
      <c r="C10" s="33"/>
      <c r="D10" s="33"/>
      <c r="E10" s="33"/>
      <c r="F10" s="34"/>
      <c r="G10" s="8"/>
      <c r="H10" s="5"/>
      <c r="I10" s="5"/>
      <c r="J10" s="5"/>
      <c r="K10" s="9"/>
    </row>
    <row r="11" spans="1:13" ht="20.100000000000001" customHeight="1" x14ac:dyDescent="0.15">
      <c r="A11" s="40" t="s">
        <v>52</v>
      </c>
      <c r="B11" s="33"/>
      <c r="C11" s="33"/>
      <c r="D11" s="33"/>
      <c r="E11" s="33"/>
      <c r="F11" s="34"/>
      <c r="G11" s="8"/>
      <c r="H11" s="5"/>
      <c r="I11" s="5"/>
      <c r="J11" s="5"/>
      <c r="K11" s="9"/>
    </row>
    <row r="12" spans="1:13" ht="20.100000000000001" customHeight="1" x14ac:dyDescent="0.15">
      <c r="A12" s="40" t="s">
        <v>53</v>
      </c>
      <c r="B12" s="33"/>
      <c r="C12" s="33"/>
      <c r="D12" s="33"/>
      <c r="E12" s="33"/>
      <c r="F12" s="34"/>
      <c r="G12" s="8"/>
      <c r="H12" s="17"/>
      <c r="I12" s="17"/>
      <c r="J12" s="5"/>
      <c r="K12" s="9"/>
    </row>
    <row r="13" spans="1:13" ht="20.100000000000001" customHeight="1" x14ac:dyDescent="0.15">
      <c r="A13" s="40"/>
      <c r="B13" s="33"/>
      <c r="C13" s="33"/>
      <c r="D13" s="33"/>
      <c r="E13" s="33"/>
      <c r="F13" s="34"/>
      <c r="G13" s="8"/>
      <c r="H13" s="5"/>
      <c r="I13" s="5"/>
      <c r="J13" s="5"/>
      <c r="K13" s="9"/>
    </row>
    <row r="14" spans="1:13" ht="20.100000000000001" customHeight="1" x14ac:dyDescent="0.15">
      <c r="A14" s="40"/>
      <c r="B14" s="33"/>
      <c r="C14" s="33"/>
      <c r="D14" s="33"/>
      <c r="E14" s="33"/>
      <c r="F14" s="34"/>
      <c r="G14" s="8"/>
      <c r="H14" s="5"/>
      <c r="I14" s="5"/>
      <c r="J14" s="5"/>
      <c r="K14" s="9"/>
    </row>
    <row r="15" spans="1:13" ht="20.100000000000001" customHeight="1" x14ac:dyDescent="0.15">
      <c r="A15" s="40"/>
      <c r="B15" s="33"/>
      <c r="C15" s="33"/>
      <c r="D15" s="33"/>
      <c r="E15" s="33"/>
      <c r="F15" s="34"/>
      <c r="G15" s="8"/>
      <c r="H15" s="5"/>
      <c r="I15" s="5"/>
      <c r="J15" s="5"/>
      <c r="K15" s="9"/>
    </row>
    <row r="16" spans="1:13" ht="20.100000000000001" customHeight="1" x14ac:dyDescent="0.15">
      <c r="A16" s="41"/>
      <c r="B16" s="11"/>
      <c r="C16" s="11"/>
      <c r="D16" s="11"/>
      <c r="E16" s="11"/>
      <c r="F16" s="11"/>
      <c r="G16" s="10"/>
      <c r="H16" s="11"/>
      <c r="I16" s="11"/>
      <c r="J16" s="11"/>
      <c r="K16" s="12"/>
    </row>
    <row r="17" spans="1:11" ht="20.100000000000001" customHeight="1" x14ac:dyDescent="0.15">
      <c r="A17" s="2" t="s">
        <v>24</v>
      </c>
      <c r="B17" s="3"/>
      <c r="C17" s="3"/>
      <c r="D17" s="3"/>
      <c r="E17" s="3"/>
      <c r="F17" s="3"/>
      <c r="G17" s="3"/>
      <c r="H17" s="3"/>
      <c r="I17" s="3"/>
      <c r="J17" s="3"/>
      <c r="K17" s="7"/>
    </row>
    <row r="18" spans="1:11" ht="20.100000000000001" customHeight="1" x14ac:dyDescent="0.15">
      <c r="A18" s="29">
        <v>1</v>
      </c>
      <c r="B18" s="30" t="s">
        <v>65</v>
      </c>
      <c r="C18" s="30"/>
      <c r="D18" s="30"/>
      <c r="E18" s="30"/>
      <c r="F18" s="30"/>
      <c r="G18" s="30"/>
      <c r="H18" s="30"/>
      <c r="I18" s="30"/>
      <c r="J18" s="30"/>
      <c r="K18" s="31"/>
    </row>
    <row r="19" spans="1:11" ht="20.100000000000001" customHeight="1" x14ac:dyDescent="0.15">
      <c r="A19" s="32">
        <v>2</v>
      </c>
      <c r="B19" s="33" t="s">
        <v>66</v>
      </c>
      <c r="C19" s="33"/>
      <c r="D19" s="33"/>
      <c r="E19" s="33"/>
      <c r="F19" s="33"/>
      <c r="G19" s="33"/>
      <c r="H19" s="33"/>
      <c r="I19" s="33"/>
      <c r="J19" s="33"/>
      <c r="K19" s="34"/>
    </row>
    <row r="20" spans="1:11" ht="20.100000000000001" customHeight="1" x14ac:dyDescent="0.15">
      <c r="A20" s="27">
        <v>3</v>
      </c>
      <c r="B20" s="11" t="s">
        <v>67</v>
      </c>
      <c r="C20" s="11"/>
      <c r="D20" s="11"/>
      <c r="E20" s="11"/>
      <c r="F20" s="11"/>
      <c r="G20" s="11"/>
      <c r="H20" s="11"/>
      <c r="I20" s="11"/>
      <c r="J20" s="11"/>
      <c r="K20" s="12"/>
    </row>
    <row r="21" spans="1:11" ht="20.100000000000001" customHeight="1" x14ac:dyDescent="0.15">
      <c r="A21" s="2" t="s">
        <v>23</v>
      </c>
      <c r="B21" s="3"/>
      <c r="C21" s="3"/>
      <c r="D21" s="3"/>
      <c r="E21" s="3"/>
      <c r="F21" s="3"/>
      <c r="G21" s="3"/>
      <c r="H21" s="3"/>
      <c r="I21" s="3"/>
      <c r="J21" s="3"/>
      <c r="K21" s="7"/>
    </row>
    <row r="22" spans="1:11" ht="20.100000000000001" customHeight="1" x14ac:dyDescent="0.15">
      <c r="A22" s="29">
        <v>1</v>
      </c>
      <c r="B22" s="30" t="s">
        <v>68</v>
      </c>
      <c r="C22" s="30"/>
      <c r="D22" s="30"/>
      <c r="E22" s="30"/>
      <c r="F22" s="30"/>
      <c r="G22" s="30"/>
      <c r="H22" s="30"/>
      <c r="I22" s="30"/>
      <c r="J22" s="30"/>
      <c r="K22" s="31"/>
    </row>
    <row r="23" spans="1:11" ht="20.100000000000001" customHeight="1" x14ac:dyDescent="0.15">
      <c r="A23" s="32">
        <v>2</v>
      </c>
      <c r="B23" s="33" t="s">
        <v>69</v>
      </c>
      <c r="C23" s="33"/>
      <c r="D23" s="33"/>
      <c r="E23" s="33"/>
      <c r="F23" s="33"/>
      <c r="G23" s="33"/>
      <c r="H23" s="33"/>
      <c r="I23" s="33"/>
      <c r="J23" s="33"/>
      <c r="K23" s="34"/>
    </row>
    <row r="24" spans="1:11" ht="20.100000000000001" customHeight="1" x14ac:dyDescent="0.15">
      <c r="A24" s="27">
        <v>3</v>
      </c>
      <c r="B24" s="11" t="s">
        <v>70</v>
      </c>
      <c r="C24" s="11"/>
      <c r="D24" s="11"/>
      <c r="E24" s="11"/>
      <c r="F24" s="11"/>
      <c r="G24" s="11"/>
      <c r="H24" s="11"/>
      <c r="I24" s="11"/>
      <c r="J24" s="11"/>
      <c r="K24" s="12"/>
    </row>
    <row r="25" spans="1:11" ht="20.100000000000001" customHeight="1" x14ac:dyDescent="0.15">
      <c r="A25" s="16" t="s">
        <v>56</v>
      </c>
      <c r="B25" s="3"/>
      <c r="C25" s="3"/>
      <c r="D25" s="3"/>
      <c r="E25" s="3"/>
      <c r="F25" s="3"/>
      <c r="G25" s="3"/>
      <c r="H25" s="3"/>
      <c r="I25" s="3"/>
      <c r="J25" s="3"/>
      <c r="K25" s="7"/>
    </row>
    <row r="26" spans="1:11" ht="20.100000000000001" customHeight="1" x14ac:dyDescent="0.15">
      <c r="A26" s="29">
        <v>1</v>
      </c>
      <c r="B26" s="30" t="s">
        <v>71</v>
      </c>
      <c r="C26" s="30"/>
      <c r="D26" s="30"/>
      <c r="E26" s="30"/>
      <c r="F26" s="30"/>
      <c r="G26" s="30"/>
      <c r="H26" s="30"/>
      <c r="I26" s="30"/>
      <c r="J26" s="30"/>
      <c r="K26" s="31"/>
    </row>
    <row r="27" spans="1:11" ht="20.100000000000001" customHeight="1" x14ac:dyDescent="0.15">
      <c r="A27" s="32">
        <v>2</v>
      </c>
      <c r="B27" s="33" t="s">
        <v>72</v>
      </c>
      <c r="C27" s="33"/>
      <c r="D27" s="33"/>
      <c r="E27" s="33"/>
      <c r="F27" s="33"/>
      <c r="G27" s="33"/>
      <c r="H27" s="33"/>
      <c r="I27" s="33"/>
      <c r="J27" s="33"/>
      <c r="K27" s="34"/>
    </row>
    <row r="28" spans="1:11" ht="20.100000000000001" customHeight="1" x14ac:dyDescent="0.15">
      <c r="A28" s="27">
        <v>3</v>
      </c>
      <c r="B28" s="11"/>
      <c r="C28" s="11"/>
      <c r="D28" s="11"/>
      <c r="E28" s="11"/>
      <c r="F28" s="11"/>
      <c r="G28" s="11"/>
      <c r="H28" s="11"/>
      <c r="I28" s="11"/>
      <c r="J28" s="11"/>
      <c r="K28" s="12"/>
    </row>
    <row r="29" spans="1:11" ht="19.5" customHeight="1" x14ac:dyDescent="0.15">
      <c r="A29" s="2" t="s">
        <v>41</v>
      </c>
      <c r="B29" s="3"/>
      <c r="C29" s="3"/>
      <c r="D29" s="3"/>
      <c r="E29" s="3"/>
      <c r="F29" s="3"/>
      <c r="G29" s="3"/>
      <c r="H29" s="3"/>
      <c r="I29" s="3"/>
      <c r="J29" s="3"/>
      <c r="K29" s="7"/>
    </row>
    <row r="30" spans="1:11" ht="20.100000000000001" customHeight="1" x14ac:dyDescent="0.15">
      <c r="A30" s="70" t="s">
        <v>81</v>
      </c>
      <c r="B30" s="35"/>
      <c r="C30" s="35"/>
      <c r="D30" s="35"/>
      <c r="E30" s="35"/>
      <c r="F30" s="35"/>
      <c r="G30" s="35"/>
      <c r="H30" s="35"/>
      <c r="I30" s="35"/>
      <c r="J30" s="35"/>
      <c r="K30" s="36"/>
    </row>
    <row r="31" spans="1:11" ht="20.100000000000001" customHeight="1" x14ac:dyDescent="0.15">
      <c r="A31" s="39" t="s">
        <v>75</v>
      </c>
      <c r="B31" s="37"/>
      <c r="C31" s="37"/>
      <c r="D31" s="37"/>
      <c r="E31" s="37"/>
      <c r="F31" s="37"/>
      <c r="G31" s="37"/>
      <c r="H31" s="37"/>
      <c r="I31" s="37"/>
      <c r="J31" s="37"/>
      <c r="K31" s="38"/>
    </row>
    <row r="32" spans="1:11" ht="20.100000000000001" customHeight="1" x14ac:dyDescent="0.15">
      <c r="A32" s="39" t="s">
        <v>76</v>
      </c>
      <c r="B32" s="37"/>
      <c r="C32" s="37"/>
      <c r="D32" s="37"/>
      <c r="E32" s="37"/>
      <c r="F32" s="37"/>
      <c r="G32" s="37"/>
      <c r="H32" s="37"/>
      <c r="I32" s="37"/>
      <c r="J32" s="37"/>
      <c r="K32" s="38"/>
    </row>
    <row r="33" spans="1:11" ht="20.100000000000001" customHeight="1" x14ac:dyDescent="0.15">
      <c r="A33" s="39" t="s">
        <v>77</v>
      </c>
      <c r="B33" s="20"/>
      <c r="C33" s="20"/>
      <c r="D33" s="20"/>
      <c r="E33" s="20"/>
      <c r="F33" s="20"/>
      <c r="G33" s="20"/>
      <c r="H33" s="20"/>
      <c r="I33" s="20"/>
      <c r="J33" s="20"/>
      <c r="K33" s="21"/>
    </row>
    <row r="34" spans="1:11" ht="20.100000000000001" customHeight="1" x14ac:dyDescent="0.15">
      <c r="A34" s="28" t="s">
        <v>9</v>
      </c>
      <c r="B34" s="49" t="s">
        <v>11</v>
      </c>
      <c r="C34" s="50"/>
      <c r="D34" s="50"/>
      <c r="E34" s="50"/>
      <c r="F34" s="50"/>
      <c r="G34" s="50"/>
      <c r="H34" s="50"/>
      <c r="I34" s="50"/>
      <c r="J34" s="50"/>
      <c r="K34" s="51"/>
    </row>
    <row r="35" spans="1:11" ht="80.099999999999994" customHeight="1" x14ac:dyDescent="0.15">
      <c r="A35" s="4"/>
      <c r="B35" s="11"/>
      <c r="C35" s="11"/>
      <c r="D35" s="11"/>
      <c r="E35" s="11"/>
      <c r="F35" s="11"/>
      <c r="G35" s="11"/>
      <c r="H35" s="11"/>
      <c r="I35" s="11"/>
      <c r="J35" s="11"/>
      <c r="K35" s="12"/>
    </row>
    <row r="36" spans="1:11" ht="20.100000000000001" customHeight="1" x14ac:dyDescent="0.15">
      <c r="A36" s="26" t="s">
        <v>10</v>
      </c>
      <c r="B36" s="6"/>
      <c r="C36" s="6"/>
      <c r="D36" s="6"/>
      <c r="E36" s="6"/>
      <c r="F36" s="6"/>
      <c r="G36" s="6"/>
      <c r="H36" s="6"/>
      <c r="I36" s="6"/>
      <c r="J36" s="6"/>
      <c r="K36" s="7"/>
    </row>
    <row r="37" spans="1:11" ht="20.100000000000001" customHeight="1" x14ac:dyDescent="0.15">
      <c r="A37" s="13" t="s">
        <v>39</v>
      </c>
      <c r="B37" s="5"/>
      <c r="C37" s="5"/>
      <c r="D37" s="5"/>
      <c r="E37" s="5"/>
      <c r="F37" s="5"/>
      <c r="G37" s="5"/>
      <c r="H37" s="5"/>
      <c r="I37" s="5"/>
      <c r="J37" s="5"/>
      <c r="K37" s="9"/>
    </row>
    <row r="38" spans="1:11" ht="20.100000000000001" customHeight="1" x14ac:dyDescent="0.15">
      <c r="A38" s="14" t="s">
        <v>40</v>
      </c>
      <c r="B38" s="5"/>
      <c r="C38" s="5"/>
      <c r="D38" s="5"/>
      <c r="E38" s="5"/>
      <c r="F38" s="5"/>
      <c r="G38" s="5"/>
      <c r="H38" s="5"/>
      <c r="I38" s="5"/>
      <c r="J38" s="5"/>
      <c r="K38" s="9"/>
    </row>
    <row r="39" spans="1:11" ht="20.100000000000001" customHeight="1" x14ac:dyDescent="0.15">
      <c r="A39" s="13" t="s">
        <v>46</v>
      </c>
      <c r="B39" s="5"/>
      <c r="C39" s="5"/>
      <c r="D39" s="5"/>
      <c r="E39" s="5"/>
      <c r="F39" s="5"/>
      <c r="G39" s="5"/>
      <c r="H39" s="5"/>
      <c r="I39" s="5"/>
      <c r="J39" s="5"/>
      <c r="K39" s="9"/>
    </row>
    <row r="40" spans="1:11" ht="20.100000000000001" customHeight="1" x14ac:dyDescent="0.15">
      <c r="A40" s="15" t="s">
        <v>47</v>
      </c>
      <c r="B40" s="11"/>
      <c r="C40" s="11"/>
      <c r="D40" s="11"/>
      <c r="E40" s="11"/>
      <c r="F40" s="11"/>
      <c r="G40" s="11"/>
      <c r="H40" s="11"/>
      <c r="I40" s="11"/>
      <c r="J40" s="11"/>
      <c r="K40" s="12"/>
    </row>
  </sheetData>
  <mergeCells count="8">
    <mergeCell ref="B34:K34"/>
    <mergeCell ref="A2:H4"/>
    <mergeCell ref="J3:K3"/>
    <mergeCell ref="J4:K4"/>
    <mergeCell ref="J5:K5"/>
    <mergeCell ref="B6:H6"/>
    <mergeCell ref="J6:K6"/>
    <mergeCell ref="A7:F7"/>
  </mergeCells>
  <phoneticPr fontId="1"/>
  <conditionalFormatting sqref="K2">
    <cfRule type="cellIs" dxfId="18" priority="11" operator="equal">
      <formula>0</formula>
    </cfRule>
  </conditionalFormatting>
  <conditionalFormatting sqref="J3:K4">
    <cfRule type="cellIs" dxfId="17" priority="10" operator="equal">
      <formula>0</formula>
    </cfRule>
  </conditionalFormatting>
  <conditionalFormatting sqref="J5:K5">
    <cfRule type="cellIs" dxfId="16" priority="9" operator="equal">
      <formula>0</formula>
    </cfRule>
  </conditionalFormatting>
  <conditionalFormatting sqref="B6:H6">
    <cfRule type="cellIs" dxfId="15" priority="8" operator="equal">
      <formula>0</formula>
    </cfRule>
  </conditionalFormatting>
  <conditionalFormatting sqref="J6:K6">
    <cfRule type="cellIs" dxfId="14" priority="7" operator="equal">
      <formula>0</formula>
    </cfRule>
  </conditionalFormatting>
  <conditionalFormatting sqref="A8">
    <cfRule type="cellIs" dxfId="13" priority="6" operator="equal">
      <formula>0</formula>
    </cfRule>
  </conditionalFormatting>
  <conditionalFormatting sqref="B18">
    <cfRule type="cellIs" dxfId="12" priority="5" operator="equal">
      <formula>0</formula>
    </cfRule>
  </conditionalFormatting>
  <conditionalFormatting sqref="B22">
    <cfRule type="cellIs" dxfId="11" priority="4" operator="equal">
      <formula>0</formula>
    </cfRule>
  </conditionalFormatting>
  <conditionalFormatting sqref="B26">
    <cfRule type="cellIs" dxfId="10" priority="2" operator="equal">
      <formula>0</formula>
    </cfRule>
  </conditionalFormatting>
  <conditionalFormatting sqref="A30:A33">
    <cfRule type="cellIs" dxfId="9" priority="1" operator="equal">
      <formula>0</formula>
    </cfRule>
  </conditionalFormatting>
  <dataValidations count="6">
    <dataValidation type="whole" allowBlank="1" showInputMessage="1" showErrorMessage="1" sqref="K2">
      <formula1>1</formula1>
      <formula2>1000000</formula2>
    </dataValidation>
    <dataValidation type="textLength" errorStyle="warning" allowBlank="1" showInputMessage="1" showErrorMessage="1" errorTitle="入力文字制限" error="1行の最大文字数は全角27文字です。_x000a_これ以上の文字数で登録すると印刷時に異常が発生します。" sqref="A8:A16">
      <formula1>0</formula1>
      <formula2>27</formula2>
    </dataValidation>
    <dataValidation type="textLength" allowBlank="1" showInputMessage="1" showErrorMessage="1" sqref="B8:F16">
      <formula1>0</formula1>
      <formula2>0</formula2>
    </dataValidation>
    <dataValidation type="textLength" errorStyle="warning" allowBlank="1" showInputMessage="1" showErrorMessage="1" errorTitle="入力制限" error="最大文字数は全角28文字です。_x000a_これ以上の文字数で登録すると印刷時に異常が発生します。" sqref="B6:H6">
      <formula1>0</formula1>
      <formula2>28</formula2>
    </dataValidation>
    <dataValidation type="textLength" errorStyle="warning" allowBlank="1" showInputMessage="1" showErrorMessage="1" errorTitle="入力文字制限" error="1行の最大文字数は全角53文字です。_x000a_これ以上の文字数で登録すると印刷時に異常が発生します。" sqref="A31:A33">
      <formula1>0</formula1>
      <formula2>49</formula2>
    </dataValidation>
    <dataValidation type="textLength" errorStyle="warning" allowBlank="1" showInputMessage="1" showErrorMessage="1" errorTitle="文字入力制限" error="1行の最大文字数は全角42文字です。_x000a_これ以上の文字数で登録すると印刷時に異常が発生します。" sqref="B18:B20 B22:B24 B26:B28">
      <formula1>0</formula1>
      <formula2>42</formula2>
    </dataValidation>
  </dataValidations>
  <printOptions horizontalCentered="1"/>
  <pageMargins left="0" right="0" top="0" bottom="0" header="0.31496062992125984" footer="0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7" r:id="rId4" name="CommandButton3">
          <controlPr defaultSize="0" autoLine="0" autoPict="0" r:id="rId5">
            <anchor moveWithCells="1">
              <from>
                <xdr:col>15</xdr:col>
                <xdr:colOff>0</xdr:colOff>
                <xdr:row>4</xdr:row>
                <xdr:rowOff>0</xdr:rowOff>
              </from>
              <to>
                <xdr:col>17</xdr:col>
                <xdr:colOff>0</xdr:colOff>
                <xdr:row>4</xdr:row>
                <xdr:rowOff>495300</xdr:rowOff>
              </to>
            </anchor>
          </controlPr>
        </control>
      </mc:Choice>
      <mc:Fallback>
        <control shapeId="1047" r:id="rId4" name="CommandButton3"/>
      </mc:Fallback>
    </mc:AlternateContent>
    <mc:AlternateContent xmlns:mc="http://schemas.openxmlformats.org/markup-compatibility/2006">
      <mc:Choice Requires="x14">
        <control shapeId="1045" r:id="rId6" name="SpinButton1">
          <controlPr defaultSize="0" autoLine="0" autoPict="0" r:id="rId7">
            <anchor moveWithCells="1">
              <from>
                <xdr:col>11</xdr:col>
                <xdr:colOff>19050</xdr:colOff>
                <xdr:row>0</xdr:row>
                <xdr:rowOff>247650</xdr:rowOff>
              </from>
              <to>
                <xdr:col>11</xdr:col>
                <xdr:colOff>295275</xdr:colOff>
                <xdr:row>2</xdr:row>
                <xdr:rowOff>247650</xdr:rowOff>
              </to>
            </anchor>
          </controlPr>
        </control>
      </mc:Choice>
      <mc:Fallback>
        <control shapeId="1045" r:id="rId6" name="SpinButton1"/>
      </mc:Fallback>
    </mc:AlternateContent>
    <mc:AlternateContent xmlns:mc="http://schemas.openxmlformats.org/markup-compatibility/2006">
      <mc:Choice Requires="x14">
        <control shapeId="1036" r:id="rId8" name="CommandButton1">
          <controlPr defaultSize="0" autoLine="0" autoPict="0" r:id="rId9">
            <anchor moveWithCells="1">
              <from>
                <xdr:col>12</xdr:col>
                <xdr:colOff>0</xdr:colOff>
                <xdr:row>1</xdr:row>
                <xdr:rowOff>0</xdr:rowOff>
              </from>
              <to>
                <xdr:col>14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36" r:id="rId8" name="CommandButton1"/>
      </mc:Fallback>
    </mc:AlternateContent>
    <mc:AlternateContent xmlns:mc="http://schemas.openxmlformats.org/markup-compatibility/2006">
      <mc:Choice Requires="x14">
        <control shapeId="1037" r:id="rId10" name="CommandButton2">
          <controlPr defaultSize="0" autoLine="0" autoPict="0" r:id="rId11">
            <anchor moveWithCells="1">
              <from>
                <xdr:col>15</xdr:col>
                <xdr:colOff>0</xdr:colOff>
                <xdr:row>1</xdr:row>
                <xdr:rowOff>0</xdr:rowOff>
              </from>
              <to>
                <xdr:col>16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37" r:id="rId10" name="CommandButton2"/>
      </mc:Fallback>
    </mc:AlternateContent>
    <mc:AlternateContent xmlns:mc="http://schemas.openxmlformats.org/markup-compatibility/2006">
      <mc:Choice Requires="x14">
        <control shapeId="1040" r:id="rId12" name="CheckBox1">
          <controlPr defaultSize="0" autoLine="0" r:id="rId13">
            <anchor moveWithCells="1">
              <from>
                <xdr:col>1</xdr:col>
                <xdr:colOff>381000</xdr:colOff>
                <xdr:row>4</xdr:row>
                <xdr:rowOff>142875</xdr:rowOff>
              </from>
              <to>
                <xdr:col>3</xdr:col>
                <xdr:colOff>438150</xdr:colOff>
                <xdr:row>4</xdr:row>
                <xdr:rowOff>390525</xdr:rowOff>
              </to>
            </anchor>
          </controlPr>
        </control>
      </mc:Choice>
      <mc:Fallback>
        <control shapeId="1040" r:id="rId12" name="CheckBox1"/>
      </mc:Fallback>
    </mc:AlternateContent>
    <mc:AlternateContent xmlns:mc="http://schemas.openxmlformats.org/markup-compatibility/2006">
      <mc:Choice Requires="x14">
        <control shapeId="1041" r:id="rId14" name="CheckBox2">
          <controlPr defaultSize="0" autoLine="0" r:id="rId15">
            <anchor moveWithCells="1">
              <from>
                <xdr:col>3</xdr:col>
                <xdr:colOff>381000</xdr:colOff>
                <xdr:row>4</xdr:row>
                <xdr:rowOff>142875</xdr:rowOff>
              </from>
              <to>
                <xdr:col>5</xdr:col>
                <xdr:colOff>438150</xdr:colOff>
                <xdr:row>4</xdr:row>
                <xdr:rowOff>390525</xdr:rowOff>
              </to>
            </anchor>
          </controlPr>
        </control>
      </mc:Choice>
      <mc:Fallback>
        <control shapeId="1041" r:id="rId14" name="CheckBox2"/>
      </mc:Fallback>
    </mc:AlternateContent>
    <mc:AlternateContent xmlns:mc="http://schemas.openxmlformats.org/markup-compatibility/2006">
      <mc:Choice Requires="x14">
        <control shapeId="1042" r:id="rId16" name="CheckBox3">
          <controlPr defaultSize="0" autoLine="0" r:id="rId17">
            <anchor moveWithCells="1">
              <from>
                <xdr:col>5</xdr:col>
                <xdr:colOff>381000</xdr:colOff>
                <xdr:row>4</xdr:row>
                <xdr:rowOff>142875</xdr:rowOff>
              </from>
              <to>
                <xdr:col>7</xdr:col>
                <xdr:colOff>438150</xdr:colOff>
                <xdr:row>4</xdr:row>
                <xdr:rowOff>390525</xdr:rowOff>
              </to>
            </anchor>
          </controlPr>
        </control>
      </mc:Choice>
      <mc:Fallback>
        <control shapeId="1042" r:id="rId16" name="Check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OFFSET(設定!$B$1,1,0,COUNTA(設定!$B$2:$B$100),1)</xm:f>
          </x14:formula1>
          <xm:sqref>J2</xm:sqref>
        </x14:dataValidation>
        <x14:dataValidation type="list" allowBlank="1" showInputMessage="1" showErrorMessage="1">
          <x14:formula1>
            <xm:f>OFFSET(設定!$E$1:$E$100,1,0,COUNTA(設定!$E$2:$E$100),1)</xm:f>
          </x14:formula1>
          <xm:sqref>J3:K3</xm:sqref>
        </x14:dataValidation>
        <x14:dataValidation type="list" allowBlank="1" showInputMessage="1" showErrorMessage="1">
          <x14:formula1>
            <xm:f>OFFSET(設定!$G$1,1,0,COUNTA(設定!$G$2:$G$100),1)</xm:f>
          </x14:formula1>
          <xm:sqref>J5:K5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"/>
  <sheetViews>
    <sheetView workbookViewId="0">
      <selection activeCell="C3" sqref="C3"/>
    </sheetView>
  </sheetViews>
  <sheetFormatPr defaultRowHeight="13.5" x14ac:dyDescent="0.15"/>
  <cols>
    <col min="3" max="3" width="17.25" bestFit="1" customWidth="1"/>
    <col min="4" max="4" width="12.375" bestFit="1" customWidth="1"/>
    <col min="5" max="5" width="12.375" customWidth="1"/>
    <col min="6" max="6" width="17.25" customWidth="1"/>
  </cols>
  <sheetData>
    <row r="1" spans="1:7" x14ac:dyDescent="0.15">
      <c r="A1" t="s">
        <v>0</v>
      </c>
      <c r="B1" t="s">
        <v>14</v>
      </c>
      <c r="C1" t="s">
        <v>17</v>
      </c>
      <c r="D1" t="s">
        <v>25</v>
      </c>
      <c r="E1" t="s">
        <v>31</v>
      </c>
      <c r="F1" t="s">
        <v>27</v>
      </c>
      <c r="G1" t="s">
        <v>19</v>
      </c>
    </row>
    <row r="2" spans="1:7" x14ac:dyDescent="0.15">
      <c r="A2">
        <v>1</v>
      </c>
      <c r="B2" t="s">
        <v>15</v>
      </c>
      <c r="C2" t="s">
        <v>80</v>
      </c>
      <c r="D2" t="s">
        <v>79</v>
      </c>
      <c r="E2" t="s">
        <v>79</v>
      </c>
      <c r="F2" t="s">
        <v>28</v>
      </c>
      <c r="G2" t="s">
        <v>20</v>
      </c>
    </row>
    <row r="3" spans="1:7" x14ac:dyDescent="0.15">
      <c r="A3">
        <f>IF(B3="","",A2+1)</f>
        <v>2</v>
      </c>
      <c r="B3" t="s">
        <v>16</v>
      </c>
      <c r="C3" t="s">
        <v>80</v>
      </c>
      <c r="E3" t="s">
        <v>79</v>
      </c>
      <c r="F3" t="s">
        <v>29</v>
      </c>
      <c r="G3" t="s">
        <v>21</v>
      </c>
    </row>
    <row r="4" spans="1:7" x14ac:dyDescent="0.15">
      <c r="E4" t="s">
        <v>79</v>
      </c>
      <c r="F4" t="s">
        <v>30</v>
      </c>
      <c r="G4" t="s">
        <v>35</v>
      </c>
    </row>
    <row r="5" spans="1:7" x14ac:dyDescent="0.15">
      <c r="E5" t="s">
        <v>79</v>
      </c>
      <c r="G5" t="s">
        <v>22</v>
      </c>
    </row>
    <row r="6" spans="1:7" x14ac:dyDescent="0.15">
      <c r="E6" t="s">
        <v>79</v>
      </c>
    </row>
    <row r="7" spans="1:7" x14ac:dyDescent="0.15">
      <c r="E7" t="s">
        <v>79</v>
      </c>
    </row>
    <row r="8" spans="1:7" x14ac:dyDescent="0.15">
      <c r="E8" t="s">
        <v>79</v>
      </c>
    </row>
    <row r="9" spans="1:7" x14ac:dyDescent="0.15">
      <c r="E9" t="s">
        <v>79</v>
      </c>
    </row>
    <row r="10" spans="1:7" x14ac:dyDescent="0.15">
      <c r="E10" t="s">
        <v>79</v>
      </c>
    </row>
  </sheetData>
  <phoneticPr fontId="1"/>
  <dataValidations count="1">
    <dataValidation type="list" allowBlank="1" showInputMessage="1" showErrorMessage="1" sqref="D2">
      <formula1>OFFSET($E$1:$E$100,1,0,COUNTA($E$2:$E$100),1)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8"/>
  <sheetViews>
    <sheetView topLeftCell="E1" workbookViewId="0">
      <selection activeCell="L3" sqref="L3"/>
    </sheetView>
  </sheetViews>
  <sheetFormatPr defaultRowHeight="13.5" x14ac:dyDescent="0.15"/>
  <cols>
    <col min="2" max="2" width="11" bestFit="1" customWidth="1"/>
    <col min="3" max="3" width="14.625" bestFit="1" customWidth="1"/>
    <col min="4" max="4" width="14.25" bestFit="1" customWidth="1"/>
    <col min="5" max="5" width="10.875" bestFit="1" customWidth="1"/>
    <col min="6" max="6" width="39" bestFit="1" customWidth="1"/>
    <col min="7" max="7" width="10.25" customWidth="1"/>
    <col min="8" max="8" width="9.75" customWidth="1"/>
  </cols>
  <sheetData>
    <row r="1" spans="1:13" x14ac:dyDescent="0.15">
      <c r="A1" t="s">
        <v>0</v>
      </c>
      <c r="B1" t="s">
        <v>2</v>
      </c>
      <c r="C1" t="s">
        <v>26</v>
      </c>
      <c r="D1" t="s">
        <v>7</v>
      </c>
      <c r="E1" t="s">
        <v>4</v>
      </c>
      <c r="F1" t="s">
        <v>34</v>
      </c>
      <c r="G1" t="s">
        <v>36</v>
      </c>
      <c r="H1" t="s">
        <v>37</v>
      </c>
      <c r="I1" t="s">
        <v>42</v>
      </c>
      <c r="J1" t="s">
        <v>43</v>
      </c>
      <c r="K1" t="s">
        <v>44</v>
      </c>
      <c r="L1" t="s">
        <v>25</v>
      </c>
      <c r="M1" t="s">
        <v>73</v>
      </c>
    </row>
    <row r="2" spans="1:13" x14ac:dyDescent="0.15">
      <c r="A2" s="18">
        <v>1</v>
      </c>
      <c r="B2" t="s">
        <v>78</v>
      </c>
      <c r="C2" s="25">
        <v>43171</v>
      </c>
      <c r="D2" t="s">
        <v>29</v>
      </c>
      <c r="E2" t="s">
        <v>32</v>
      </c>
      <c r="F2" s="69" t="s">
        <v>81</v>
      </c>
      <c r="G2" s="69" t="s">
        <v>81</v>
      </c>
      <c r="H2" s="48" t="s">
        <v>45</v>
      </c>
      <c r="I2" s="47" t="s">
        <v>58</v>
      </c>
      <c r="J2" s="22" t="s">
        <v>59</v>
      </c>
      <c r="K2" s="22" t="s">
        <v>60</v>
      </c>
      <c r="L2" s="69" t="s">
        <v>81</v>
      </c>
      <c r="M2" s="22" t="s">
        <v>61</v>
      </c>
    </row>
    <row r="3" spans="1:13" x14ac:dyDescent="0.15">
      <c r="A3" s="18">
        <f>IF(テーブル1[[#This Row],[報告者]]="","",A2+1)</f>
        <v>2</v>
      </c>
      <c r="B3" t="s">
        <v>78</v>
      </c>
      <c r="C3" s="25">
        <v>43173</v>
      </c>
      <c r="D3" t="s">
        <v>30</v>
      </c>
      <c r="E3" t="s">
        <v>35</v>
      </c>
      <c r="F3" s="69" t="s">
        <v>81</v>
      </c>
      <c r="G3" s="69" t="s">
        <v>81</v>
      </c>
      <c r="H3" s="48" t="s">
        <v>45</v>
      </c>
      <c r="I3" s="47" t="s">
        <v>62</v>
      </c>
      <c r="J3" s="22" t="s">
        <v>63</v>
      </c>
      <c r="K3" s="22" t="s">
        <v>64</v>
      </c>
      <c r="L3" s="69" t="s">
        <v>81</v>
      </c>
      <c r="M3" s="22" t="s">
        <v>74</v>
      </c>
    </row>
    <row r="4" spans="1:13" x14ac:dyDescent="0.15">
      <c r="A4" s="18">
        <f>IF(テーブル1[[#This Row],[報告者]]="","",A3+1)</f>
        <v>3</v>
      </c>
      <c r="B4" t="s">
        <v>78</v>
      </c>
      <c r="C4" s="25">
        <v>43214</v>
      </c>
      <c r="D4" t="s">
        <v>30</v>
      </c>
      <c r="E4" t="s">
        <v>35</v>
      </c>
      <c r="F4" s="69" t="s">
        <v>81</v>
      </c>
      <c r="G4" s="69" t="s">
        <v>81</v>
      </c>
      <c r="H4" s="48" t="s">
        <v>45</v>
      </c>
      <c r="I4" s="47"/>
      <c r="J4" s="22"/>
      <c r="K4" s="22"/>
      <c r="L4" s="22"/>
      <c r="M4" s="22"/>
    </row>
    <row r="5" spans="1:13" x14ac:dyDescent="0.15">
      <c r="A5" s="18" t="str">
        <f>IF(テーブル1[[#This Row],[報告者]]="","",A4+1)</f>
        <v/>
      </c>
      <c r="C5" s="25"/>
      <c r="G5" s="47"/>
      <c r="H5" s="47"/>
      <c r="I5" s="47"/>
      <c r="J5" s="22"/>
      <c r="K5" s="22"/>
      <c r="L5" s="22"/>
      <c r="M5" s="22"/>
    </row>
    <row r="6" spans="1:13" x14ac:dyDescent="0.15">
      <c r="A6" s="18" t="str">
        <f>IF(テーブル1[[#This Row],[報告者]]="","",A5+1)</f>
        <v/>
      </c>
      <c r="C6" s="25"/>
      <c r="G6" s="47"/>
      <c r="H6" s="47"/>
      <c r="I6" s="47"/>
      <c r="J6" s="22"/>
      <c r="K6" s="22"/>
      <c r="L6" s="22"/>
      <c r="M6" s="22"/>
    </row>
    <row r="7" spans="1:13" x14ac:dyDescent="0.15">
      <c r="A7" s="18" t="str">
        <f>IF(テーブル1[[#This Row],[報告者]]="","",A6+1)</f>
        <v/>
      </c>
      <c r="C7" s="25"/>
      <c r="G7" s="47"/>
      <c r="H7" s="47"/>
      <c r="I7" s="47"/>
      <c r="J7" s="22"/>
      <c r="K7" s="22"/>
      <c r="L7" s="22"/>
      <c r="M7" s="22"/>
    </row>
    <row r="8" spans="1:13" x14ac:dyDescent="0.15">
      <c r="A8" s="18" t="str">
        <f>IF(テーブル1[[#This Row],[報告者]]="","",A7+1)</f>
        <v/>
      </c>
      <c r="C8" s="25"/>
      <c r="G8" s="47"/>
      <c r="H8" s="47"/>
      <c r="I8" s="47"/>
      <c r="J8" s="22"/>
      <c r="K8" s="22"/>
      <c r="L8" s="22"/>
      <c r="M8" s="22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OFFSET(設定!$F$1:$F$100,1,0,COUNTA(設定!$F$2:$F$100),1)</xm:f>
          </x14:formula1>
          <xm:sqref>D2:D8</xm:sqref>
        </x14:dataValidation>
        <x14:dataValidation type="list" allowBlank="1" showInputMessage="1" showErrorMessage="1">
          <x14:formula1>
            <xm:f>OFFSET(設定!$E$1:$E$100,1,0,COUNTA(設定!$E$2:$E$100),1)</xm:f>
          </x14:formula1>
          <xm:sqref>B2:B8</xm:sqref>
        </x14:dataValidation>
        <x14:dataValidation type="list" allowBlank="1" showInputMessage="1" showErrorMessage="1">
          <x14:formula1>
            <xm:f>OFFSET(設定!$G$1:$G$100,1,0,COUNTA(設定!$G$2:$G$100),1)</xm:f>
          </x14:formula1>
          <xm:sqref>E2:E8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原紙</vt:lpstr>
      <vt:lpstr>設定</vt:lpstr>
      <vt:lpstr>data</vt:lpstr>
      <vt:lpstr>原紙!Print_Area</vt:lpstr>
    </vt:vector>
  </TitlesOfParts>
  <Company>楠原輸送株式会社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楠原輸送株式会社</dc:creator>
  <cp:lastModifiedBy>NEON</cp:lastModifiedBy>
  <cp:lastPrinted>2018-04-26T17:17:52Z</cp:lastPrinted>
  <dcterms:created xsi:type="dcterms:W3CDTF">2018-03-23T09:13:32Z</dcterms:created>
  <dcterms:modified xsi:type="dcterms:W3CDTF">2019-06-26T11:57:25Z</dcterms:modified>
</cp:coreProperties>
</file>